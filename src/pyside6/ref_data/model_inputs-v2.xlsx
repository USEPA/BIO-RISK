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cheitlin\Git\Streams\streams_lower\src\pyside6\ref_data\"/>
    </mc:Choice>
  </mc:AlternateContent>
  <xr:revisionPtr revIDLastSave="0" documentId="13_ncr:1_{052F8303-E737-47FE-BC31-E8619AE007A0}" xr6:coauthVersionLast="47" xr6:coauthVersionMax="47" xr10:uidLastSave="{00000000-0000-0000-0000-000000000000}"/>
  <bookViews>
    <workbookView xWindow="-120" yWindow="-120" windowWidth="29040" windowHeight="15720" xr2:uid="{DF669792-B0E3-4075-8074-1695C419F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3" i="1" l="1"/>
  <c r="D212" i="1"/>
  <c r="D294" i="1"/>
  <c r="D266" i="1"/>
  <c r="D239" i="1"/>
  <c r="D221" i="1"/>
  <c r="D26" i="1"/>
  <c r="D68" i="1"/>
  <c r="D74" i="1" s="1"/>
  <c r="D62" i="1"/>
  <c r="D22" i="1"/>
  <c r="D24" i="1" l="1"/>
  <c r="D25" i="1" l="1"/>
  <c r="D161" i="1"/>
  <c r="D330" i="1"/>
  <c r="D322" i="1"/>
  <c r="D115" i="1"/>
  <c r="D54" i="1"/>
  <c r="D316" i="1"/>
  <c r="D241" i="1"/>
  <c r="D247" i="1"/>
  <c r="D314" i="1" s="1"/>
  <c r="D351" i="1"/>
  <c r="D189" i="1"/>
  <c r="D215" i="1"/>
  <c r="D81" i="1"/>
  <c r="D349" i="1"/>
  <c r="D187" i="1"/>
  <c r="D65" i="1"/>
  <c r="D64" i="1"/>
  <c r="D303" i="1" l="1"/>
  <c r="D275" i="1"/>
  <c r="D248" i="1"/>
  <c r="D350" i="1"/>
  <c r="D188" i="1"/>
  <c r="D82" i="1"/>
  <c r="D107" i="1"/>
  <c r="D28" i="1"/>
  <c r="D184" i="1"/>
  <c r="D146" i="1"/>
  <c r="D147" i="1"/>
  <c r="D114" i="1"/>
  <c r="D108" i="1" s="1"/>
  <c r="D95" i="1"/>
  <c r="D71" i="1"/>
  <c r="D70" i="1"/>
  <c r="D69" i="1"/>
  <c r="D63" i="1"/>
</calcChain>
</file>

<file path=xl/sharedStrings.xml><?xml version="1.0" encoding="utf-8"?>
<sst xmlns="http://schemas.openxmlformats.org/spreadsheetml/2006/main" count="1577" uniqueCount="176">
  <si>
    <t>Class</t>
  </si>
  <si>
    <t>Class Group</t>
  </si>
  <si>
    <t>SubClass</t>
  </si>
  <si>
    <t>Value</t>
  </si>
  <si>
    <t>Unit</t>
  </si>
  <si>
    <t>Notes</t>
  </si>
  <si>
    <t>Source</t>
  </si>
  <si>
    <t>general</t>
  </si>
  <si>
    <t>total</t>
  </si>
  <si>
    <t>count</t>
  </si>
  <si>
    <t>https://www.census.gov/popclock/</t>
  </si>
  <si>
    <t>fraction_vulnerable</t>
  </si>
  <si>
    <t>fraction</t>
  </si>
  <si>
    <t>https://jamanetwork.com/journals/jama/fullarticle/2572798</t>
  </si>
  <si>
    <t>risk_newborn</t>
  </si>
  <si>
    <t>-</t>
  </si>
  <si>
    <t>risk_elderly</t>
  </si>
  <si>
    <t>risk_vulnerable</t>
  </si>
  <si>
    <t>fraction_newborn</t>
  </si>
  <si>
    <t>https://enviroatlas.epa.gov/enviroatlas/DataFactSheets/pdf/Supplemental/PercentPopulationUnder1YearOld.pdf</t>
  </si>
  <si>
    <t>fraction_elderly</t>
  </si>
  <si>
    <t>https://www.statista.com/statistics/457822/share-of-old-age-population-in-the-total-us-population/</t>
  </si>
  <si>
    <t>fraction_nonworking</t>
  </si>
  <si>
    <t>https://www.minneapolisfed.org/article/2022/whos-not-working-in-the-us-learn-the-basics</t>
  </si>
  <si>
    <t>fraction_critical</t>
  </si>
  <si>
    <t>local_characteristics</t>
  </si>
  <si>
    <t>structure</t>
  </si>
  <si>
    <t>total "commercial" structures</t>
  </si>
  <si>
    <t>https://www.eia.gov/todayinenergy/detail.php?id=46118#:~:text=CBECS%20estimates%20that%205.9%20million,was%20last%20conducted%20in%202012.</t>
  </si>
  <si>
    <t>size</t>
  </si>
  <si>
    <t>sq ft</t>
  </si>
  <si>
    <t>infectivity</t>
  </si>
  <si>
    <t>max</t>
  </si>
  <si>
    <t>slope</t>
  </si>
  <si>
    <t>edu</t>
  </si>
  <si>
    <t>structures</t>
  </si>
  <si>
    <t>https://nces.ed.gov/FastFacts/display.asp?id=84</t>
  </si>
  <si>
    <t>sq m</t>
  </si>
  <si>
    <t>staff</t>
  </si>
  <si>
    <t>https://www.bls.gov/emp/tables/employment-by-major-industry-sector.htm</t>
  </si>
  <si>
    <t>time</t>
  </si>
  <si>
    <t>hours/week</t>
  </si>
  <si>
    <t>https://nces.ed.gov/surveys/sass/tables/sass0708_035_s1s.asp</t>
  </si>
  <si>
    <t>Default to General</t>
  </si>
  <si>
    <t>customer</t>
  </si>
  <si>
    <t>https://nces.ed.gov/programs/digest/d21/tables/dt21_205.40.asp</t>
  </si>
  <si>
    <t>permanent</t>
  </si>
  <si>
    <t>visitor</t>
  </si>
  <si>
    <t>hosp</t>
  </si>
  <si>
    <t>https://www.aha.org/statistics/fast-facts-us-hospitals</t>
  </si>
  <si>
    <t>https://www.ibisworld.com/industry-statistics/employment/hospitals-united-states/#:~:text=How%20many%20people%20does%20the,the%20US%20has%20987.1%20employees.</t>
  </si>
  <si>
    <t>persons/week</t>
  </si>
  <si>
    <t>https://pubmed.ncbi.nlm.nih.gov/22272927/</t>
  </si>
  <si>
    <t>https://www.cdc.gov/nchs/products/databriefs/db118.htm</t>
  </si>
  <si>
    <t>https://data.hrsa.gov/tools/data-reporting/program-data/national/table?tableName=Full&amp;year=2020</t>
  </si>
  <si>
    <t>https://www.cdc.gov/nchs/products/databriefs/db438.htm#ref3</t>
  </si>
  <si>
    <t>eldercare</t>
  </si>
  <si>
    <t>https://www.cdc.gov/nchs/fastats/residential-care-communities.htm</t>
  </si>
  <si>
    <t>https://www.xenia.team/articles/assisted-living-staff-to-resident-ratio-for-effective-operations#:~:text=The%20answer%20depends%20on%20where,residents)%20is%20a%20good%20start.</t>
  </si>
  <si>
    <t>relig</t>
  </si>
  <si>
    <t>Fast Facts about American Religion (hartsem.edu)</t>
  </si>
  <si>
    <t>http://hirr.hartsem.edu/research/fastfacts/fast_facts.html</t>
  </si>
  <si>
    <t>res</t>
  </si>
  <si>
    <t>https://www.statista.com/statistics/240267/number-of-housing-units-in-the-united-states/</t>
  </si>
  <si>
    <t>https://www.ahs.com/home-matters/real-estate/the-2022-american-home-size-index/</t>
  </si>
  <si>
    <t>https://flowingdata.com/2021/09/03/everything-more-from-home/</t>
  </si>
  <si>
    <t>ag</t>
  </si>
  <si>
    <t>https://www.nass.usda.gov/Publications/Todays_Reports/reports/fnlo0222.pdf</t>
  </si>
  <si>
    <t>ind</t>
  </si>
  <si>
    <t>https://www.statista.com/statistics/949127/number-active-mines-united-states-by-commodity/</t>
  </si>
  <si>
    <t>https://www.ibisworld.com/industry-statistics/number-of-businesses/construction-united-states/</t>
  </si>
  <si>
    <t>https://converged.propelsoftware.com/blogs/american-manufacturing-statistics</t>
  </si>
  <si>
    <t>comm</t>
  </si>
  <si>
    <t>https://www.bls.gov/news.release/cesan.nr0.htm#:~:text=Because%20there%20were%20approximately%20134,over%2026%20million%20consumer%20units.</t>
  </si>
  <si>
    <t>primRd</t>
  </si>
  <si>
    <t>secRd</t>
  </si>
  <si>
    <t>localRd</t>
  </si>
  <si>
    <t>park</t>
  </si>
  <si>
    <t>off</t>
  </si>
  <si>
    <t>https://www.eia.gov/consumption/commercial/data/2018/pdf/CBECS_2018_Building_Characteristics_Flipbook.pdf</t>
  </si>
  <si>
    <t>https://www.statista.com/statistics/754579/patient-share-health-centers-in-us-by-age/</t>
  </si>
  <si>
    <t>Mercantile</t>
  </si>
  <si>
    <t>https://www.springhills.com/resources/average-size-of-assisted-living-facility</t>
  </si>
  <si>
    <t>~500 sq ft / resident</t>
  </si>
  <si>
    <t>https://www.bls.gov/news.release/empsit.t18.htm</t>
  </si>
  <si>
    <t>July 2024; Wholesale trade and retail trade</t>
  </si>
  <si>
    <t>July 2024; Mining and manufacturing</t>
  </si>
  <si>
    <t>July 2024; Construction</t>
  </si>
  <si>
    <t>https://fred.stlouisfed.org/series/AWHAETP</t>
  </si>
  <si>
    <t>July 2024; Information, financial activities, professional and business services</t>
  </si>
  <si>
    <t>persons/week (customers are drivers)</t>
  </si>
  <si>
    <t>persons/week (visitors are pedestrians)</t>
  </si>
  <si>
    <t>https://www.fhwa.dot.gov/ohim/onh00/our_ntns_hwys.pdf</t>
  </si>
  <si>
    <t>7 days per week of commuting to account for errands and other</t>
  </si>
  <si>
    <t>sq m (linear miles)</t>
  </si>
  <si>
    <t>https://www.bls.gov/oes/2023/may/oes474051.htm</t>
  </si>
  <si>
    <t>Local government employed</t>
  </si>
  <si>
    <t>State government employed</t>
  </si>
  <si>
    <t>Highway and other</t>
  </si>
  <si>
    <t>https://www.census.gov/data/tables/time-series/demo/commuting/acs-25.html</t>
  </si>
  <si>
    <t>Avg of small, med, and large city walking fraction is 3.06%</t>
  </si>
  <si>
    <t>2.6% of all commuters walked in 2019</t>
  </si>
  <si>
    <t>https://www.census.gov/content/dam/Census/library/publications/2021/acs/acs-48.pdf</t>
  </si>
  <si>
    <t>Avg of commute time; 7 days/week to account for non-work walking</t>
  </si>
  <si>
    <t>https://historictrades.org/national-park-service/</t>
  </si>
  <si>
    <t>https://www.nps.gov/subjects/fire/wildland-firefighter-applicant-info.htm#:~:text=Employees%20normally%20work%2040%20hours,%2C%20evenings%2C%20nights%2C%20etc.</t>
  </si>
  <si>
    <t>https://natureofamericans.org/findings/topic-summary/adults</t>
  </si>
  <si>
    <t>https://www.churchsalary.com/content/articles/how-many-staff-should-your-church-have-based-on-attendance.html</t>
  </si>
  <si>
    <t>Other services</t>
  </si>
  <si>
    <t>https://www.definitivehc.com/resources/healthcare-insights/average-us-hospital-square-footage#:~:text=How%20does%20hospital%20facility%20size,of%201.2%20million%20square%20feet.</t>
  </si>
  <si>
    <t>30,000 ft^2 for healthcare</t>
  </si>
  <si>
    <t>358,061 ft^2 for hospitals</t>
  </si>
  <si>
    <t>51 church attenders to full time staff</t>
  </si>
  <si>
    <t>https://www.nature.com/articles/s41597-020-00668-y</t>
  </si>
  <si>
    <t>Rough Average</t>
  </si>
  <si>
    <t>https://pmc.ncbi.nlm.nih.gov/articles/PMC9384074/table/T1/</t>
  </si>
  <si>
    <t>https://www.researchgate.net/publication/354466606_Epidemiology_Gray_Immunity_Model_Gives_Qualitatively_Different_Predictions/figures?lo=1</t>
  </si>
  <si>
    <t>Assume 1 visitor per inpatient</t>
  </si>
  <si>
    <t>https://wexnermedical.osu.edu/blog/visit-someone-in-hospital#:~:text=The%20length%20of%20the%20visit,until%20the%20conversation%20is%20over.</t>
  </si>
  <si>
    <t>Recommended to keep visits to less than 1 hour</t>
  </si>
  <si>
    <t>https://www.nae.org/long-church-services-sermons/</t>
  </si>
  <si>
    <t>75 minutes for evangelicals</t>
  </si>
  <si>
    <t>https://www.tpl.org/city-park-facts</t>
  </si>
  <si>
    <t>Number of local parks in 100 largest cities in US</t>
  </si>
  <si>
    <t>Average of park size of 100 largest cities in US</t>
  </si>
  <si>
    <t>Total employees of local park and recreation departments in US</t>
  </si>
  <si>
    <t>https://www.nrpa.org/publications-research/research-papers/Engagement/#:~:text=Local%20park%20and%20recreation%20services,essential%20offerings:%20parks%20and%20recreation.</t>
  </si>
  <si>
    <t>Visitations to most popular parks in 100 largest cities in US</t>
  </si>
  <si>
    <t>https://geodata.bts.gov/datasets/usdot::north-american-roads/about</t>
  </si>
  <si>
    <t>https://geodata.bts.gov/datasets/usdot::north-american-roads/about
https://www.fhwa.dot.gov/policyinformation/statistics/2011/hm53.cfm</t>
  </si>
  <si>
    <t>https://epa.maps.arcgis.com/home/item.html?id=f42ecc08a3634182b8678514af35fac3&amp;view=list&amp;sortOrder=desc&amp;sortField=defaultFSOrder&amp;sublayer=6#data</t>
  </si>
  <si>
    <t>https://epa.maps.arcgis.com/home/item.html?id=f42ecc08a3634182b8678514af35fac3&amp;sublayer=2#data</t>
  </si>
  <si>
    <t>https://epa.maps.arcgis.com/home/item.html?id=f42ecc08a3634182b8678514af35fac3&amp;sublayer=8#data</t>
  </si>
  <si>
    <t>exposure</t>
  </si>
  <si>
    <t>high</t>
  </si>
  <si>
    <t>medium</t>
  </si>
  <si>
    <t>low</t>
  </si>
  <si>
    <t>https://royalsocietypublishing.org/doi/epdf/10.1098/rsif.2010.0686</t>
  </si>
  <si>
    <t>breathing rate</t>
  </si>
  <si>
    <t>liters per hour</t>
  </si>
  <si>
    <t>organisms/hour</t>
  </si>
  <si>
    <t>https://pmc.ncbi.nlm.nih.gov/articles/PMC8672270/</t>
  </si>
  <si>
    <t>0.5 Liters per breath * 12 breaths per minute * 60 minutes / hour</t>
  </si>
  <si>
    <t>id50-high</t>
  </si>
  <si>
    <t>id50-medium</t>
  </si>
  <si>
    <t>id50-low</t>
  </si>
  <si>
    <t>Bacillus anthracis and Salmonella Typhi</t>
  </si>
  <si>
    <t>Yersinia Pestis, Brucella spp, E. coli; Measels and smallpox are &lt; 100</t>
  </si>
  <si>
    <t>https://www.canada.ca/en/public-health/services/laboratory-biosafety-biosecurity/pathogen-safety-data-sheets-risk-assessment.html</t>
  </si>
  <si>
    <t>Border between moderate and low infectivity</t>
  </si>
  <si>
    <t>https://pmc.ncbi.nlm.nih.gov/articles/PMC3323150/</t>
  </si>
  <si>
    <t>Sverdlovsk - Avg of 362 exposed spores per person over about a day</t>
  </si>
  <si>
    <t>2001 Anthrax mail attack - One quanta divided across an 8 hour shift</t>
  </si>
  <si>
    <t>https://www.pnas.org/doi/10.1073/pnas.0509551103#FN2</t>
  </si>
  <si>
    <t>https://www.science.org/doi/10.1126/science.7973702</t>
  </si>
  <si>
    <t>16 organisms/L of influenza A in indoor environments * breathing rate</t>
  </si>
  <si>
    <t>https://pubmed.ncbi.nlm.nih.gov/19779939/</t>
  </si>
  <si>
    <t>Range used for model is 2-5</t>
  </si>
  <si>
    <t>Sverdlovsk occurred over the course of about a day</t>
  </si>
  <si>
    <t>Value for optimal 4 parameter model</t>
  </si>
  <si>
    <t>Anthrax infection data from animals</t>
  </si>
  <si>
    <t>https://journals.plos.org/ploscompbiol/article?id=10.1371/journal.pcbi.1013439</t>
  </si>
  <si>
    <t>Based on average of range (or 10 office vists per year when group is &gt;10)</t>
  </si>
  <si>
    <t>https://ftp.cdc.gov/pub/Health_Statistics/NCHS/NHIS/SHS/2018_SHS_Table_A-17.pdf</t>
  </si>
  <si>
    <t>Assume each person visits only once in the selected week</t>
  </si>
  <si>
    <t>https://ftp.cdc.gov/pub/Health_Statistics/NCHS/NHIS/SHS/2018_SHS_Table_P-10.pdf</t>
  </si>
  <si>
    <t>https://www.bls.gov/news.release/atus.t01.htm</t>
  </si>
  <si>
    <t>0.67 hours per day * 7 days per week</t>
  </si>
  <si>
    <t>https://epa.maps.arcgis.com/home/item.html?id=f42ecc08a3634182b8678514af35fac3&amp;view=list&amp;sortOrder=desc&amp;sortField=defaultFSOrder#data</t>
  </si>
  <si>
    <t>https://epa.maps.arcgis.com/home/item.html?id=f42ecc08a3634182b8678514af35fac3#data</t>
  </si>
  <si>
    <t>XXX Avg length from dataset multiplied by number of entries</t>
  </si>
  <si>
    <t>XXX number of entries in dataset</t>
  </si>
  <si>
    <t>Sum of total public and private schools</t>
  </si>
  <si>
    <t>education</t>
  </si>
  <si>
    <t>https://www.eia.gov/consumption/commercial/data/2018/bc/pdf/b1.pdf</t>
  </si>
  <si>
    <t>Sum of food sales/service, mercantile, public assembly/order and safety,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</si>
</sst>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ECF0F1"/>
      <name val="Segoe UI"/>
      <family val="2"/>
    </font>
    <font>
      <b/>
      <sz val="12"/>
      <color rgb="FF452DB2"/>
      <name val="Segoe UI"/>
      <family val="2"/>
    </font>
    <font>
      <sz val="11"/>
      <color rgb="FFECF0F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70729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452DB2"/>
        <bgColor indexed="64"/>
      </patternFill>
    </fill>
    <fill>
      <patternFill patternType="solid">
        <fgColor rgb="FFD357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2" fillId="2" borderId="0"/>
    <xf numFmtId="0" fontId="2" fillId="3" borderId="0"/>
    <xf numFmtId="0" fontId="3" fillId="3" borderId="0"/>
    <xf numFmtId="0" fontId="4" fillId="4" borderId="0"/>
    <xf numFmtId="0" fontId="4" fillId="5" borderId="0"/>
    <xf numFmtId="0" fontId="5" fillId="6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6" fillId="0" borderId="0" xfId="8"/>
    <xf numFmtId="0" fontId="6" fillId="0" borderId="0" xfId="8" applyFill="1"/>
    <xf numFmtId="43" fontId="0" fillId="0" borderId="0" xfId="1" applyFont="1"/>
    <xf numFmtId="0" fontId="0" fillId="6" borderId="0" xfId="0" applyFill="1"/>
    <xf numFmtId="164" fontId="0" fillId="0" borderId="0" xfId="0" applyNumberFormat="1"/>
    <xf numFmtId="2" fontId="0" fillId="0" borderId="0" xfId="0" applyNumberFormat="1"/>
    <xf numFmtId="17" fontId="0" fillId="0" borderId="0" xfId="0" applyNumberFormat="1"/>
    <xf numFmtId="0" fontId="7" fillId="0" borderId="0" xfId="0" applyFont="1"/>
    <xf numFmtId="0" fontId="8" fillId="0" borderId="0" xfId="0" applyFont="1"/>
    <xf numFmtId="43" fontId="0" fillId="0" borderId="0" xfId="1" applyFont="1" applyFill="1"/>
    <xf numFmtId="0" fontId="6" fillId="0" borderId="0" xfId="8" applyAlignment="1">
      <alignment vertical="center" wrapText="1" readingOrder="1"/>
    </xf>
    <xf numFmtId="0" fontId="0" fillId="7" borderId="0" xfId="0" applyFill="1"/>
    <xf numFmtId="0" fontId="6" fillId="7" borderId="0" xfId="8" applyFill="1"/>
    <xf numFmtId="43" fontId="0" fillId="0" borderId="0" xfId="0" applyNumberFormat="1"/>
    <xf numFmtId="43" fontId="0" fillId="0" borderId="0" xfId="1" quotePrefix="1" applyFont="1"/>
  </cellXfs>
  <cellStyles count="9">
    <cellStyle name="Comma" xfId="1" builtinId="3"/>
    <cellStyle name="Hyperlink" xfId="8" builtinId="8"/>
    <cellStyle name="Normal" xfId="0" builtinId="0"/>
    <cellStyle name="PPDuplicateRow" xfId="5" xr:uid="{B9B2E7A7-3A3D-47C2-98AB-5410270AC2C5}"/>
    <cellStyle name="PPHeaderColumn" xfId="3" xr:uid="{8379345A-C354-4E19-AD28-025CAE78AE20}"/>
    <cellStyle name="PPHeaderRequired" xfId="4" xr:uid="{29679078-6647-4972-9564-C4F0355B6B9D}"/>
    <cellStyle name="PPHeaderTop" xfId="2" xr:uid="{E052784B-E0DC-4D61-AD71-4A072CBC6FC6}"/>
    <cellStyle name="PPInvalidValue" xfId="6" xr:uid="{FB27AE20-1161-4DFA-8836-CCCA21B9F644}"/>
    <cellStyle name="PPMissingValue" xfId="7" xr:uid="{193FC2EC-3A14-4332-9322-9C1ED360DA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B449B6-E066-46A4-B0A4-B01F616D28E5}" name="Table1" displayName="Table1" ref="A1:G373" totalsRowShown="0">
  <autoFilter ref="A1:G373" xr:uid="{63B449B6-E066-46A4-B0A4-B01F616D28E5}">
    <filterColumn colId="0">
      <filters>
        <filter val="comm"/>
      </filters>
    </filterColumn>
  </autoFilter>
  <tableColumns count="7">
    <tableColumn id="1" xr3:uid="{DFBB6EB2-F3A0-4A41-A155-F594F1C15AF7}" name="Class"/>
    <tableColumn id="2" xr3:uid="{F7952535-7ED7-4713-8E7D-21BAB4843E6F}" name="Class Group"/>
    <tableColumn id="3" xr3:uid="{6866A7BD-2F46-40EB-BEDC-0C55363C80F8}" name="SubClass"/>
    <tableColumn id="4" xr3:uid="{2E3C2302-5751-401C-9EED-9C5A1D3120B0}" name="Value"/>
    <tableColumn id="5" xr3:uid="{9FE402BB-05DB-40A7-8E85-EC2C1F4FB5AF}" name="Unit"/>
    <tableColumn id="7" xr3:uid="{8B5D904C-D2D7-4574-A973-3D5688B9370C}" name="Notes"/>
    <tableColumn id="6" xr3:uid="{ACA55084-C445-4EF3-9FA6-E1A5AC2FF49A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tatista.com/statistics/240267/number-of-housing-units-in-the-united-states/" TargetMode="External"/><Relationship Id="rId21" Type="http://schemas.openxmlformats.org/officeDocument/2006/relationships/hyperlink" Target="https://www.cdc.gov/nchs/fastats/residential-care-communities.htm" TargetMode="External"/><Relationship Id="rId34" Type="http://schemas.openxmlformats.org/officeDocument/2006/relationships/hyperlink" Target="https://www.eia.gov/todayinenergy/detail.php?id=46118" TargetMode="External"/><Relationship Id="rId42" Type="http://schemas.openxmlformats.org/officeDocument/2006/relationships/hyperlink" Target="https://www.statista.com/statistics/754579/patient-share-health-centers-in-us-by-age/" TargetMode="External"/><Relationship Id="rId47" Type="http://schemas.openxmlformats.org/officeDocument/2006/relationships/hyperlink" Target="https://www.bls.gov/news.release/empsit.t18.htm" TargetMode="External"/><Relationship Id="rId50" Type="http://schemas.openxmlformats.org/officeDocument/2006/relationships/hyperlink" Target="https://www.bls.gov/news.release/empsit.t18.htm" TargetMode="External"/><Relationship Id="rId55" Type="http://schemas.openxmlformats.org/officeDocument/2006/relationships/hyperlink" Target="https://www.fhwa.dot.gov/ohim/onh00/our_ntns_hwys.pdf" TargetMode="External"/><Relationship Id="rId63" Type="http://schemas.openxmlformats.org/officeDocument/2006/relationships/hyperlink" Target="https://www.census.gov/data/tables/time-series/demo/commuting/acs-25.html" TargetMode="External"/><Relationship Id="rId68" Type="http://schemas.openxmlformats.org/officeDocument/2006/relationships/hyperlink" Target="https://natureofamericans.org/findings/topic-summary/adults" TargetMode="External"/><Relationship Id="rId76" Type="http://schemas.openxmlformats.org/officeDocument/2006/relationships/hyperlink" Target="https://geodata.bts.gov/datasets/usdot::north-american-roads/about" TargetMode="External"/><Relationship Id="rId84" Type="http://schemas.openxmlformats.org/officeDocument/2006/relationships/hyperlink" Target="https://www.canada.ca/en/public-health/services/laboratory-biosafety-biosecurity/pathogen-safety-data-sheets-risk-assessment.html" TargetMode="External"/><Relationship Id="rId89" Type="http://schemas.openxmlformats.org/officeDocument/2006/relationships/hyperlink" Target="https://pubmed.ncbi.nlm.nih.gov/19779939/" TargetMode="External"/><Relationship Id="rId97" Type="http://schemas.openxmlformats.org/officeDocument/2006/relationships/hyperlink" Target="https://epa.maps.arcgis.com/home/item.html?id=f42ecc08a3634182b8678514af35fac3" TargetMode="External"/><Relationship Id="rId7" Type="http://schemas.openxmlformats.org/officeDocument/2006/relationships/hyperlink" Target="https://www.eia.gov/todayinenergy/detail.php?id=46118" TargetMode="External"/><Relationship Id="rId71" Type="http://schemas.openxmlformats.org/officeDocument/2006/relationships/hyperlink" Target="https://pmc.ncbi.nlm.nih.gov/articles/PMC9384074/table/T1/" TargetMode="External"/><Relationship Id="rId92" Type="http://schemas.openxmlformats.org/officeDocument/2006/relationships/hyperlink" Target="https://ftp.cdc.gov/pub/Health_Statistics/NCHS/NHIS/SHS/2018_SHS_Table_P-10.pdf" TargetMode="External"/><Relationship Id="rId2" Type="http://schemas.openxmlformats.org/officeDocument/2006/relationships/hyperlink" Target="https://nces.ed.gov/FastFacts/display.asp?id=84" TargetMode="External"/><Relationship Id="rId16" Type="http://schemas.openxmlformats.org/officeDocument/2006/relationships/hyperlink" Target="https://pubmed.ncbi.nlm.nih.gov/22272927/" TargetMode="External"/><Relationship Id="rId29" Type="http://schemas.openxmlformats.org/officeDocument/2006/relationships/hyperlink" Target="https://www.statista.com/statistics/949127/number-active-mines-united-states-by-commodity/" TargetMode="External"/><Relationship Id="rId11" Type="http://schemas.openxmlformats.org/officeDocument/2006/relationships/hyperlink" Target="https://nces.ed.gov/surveys/sass/tables/sass0708_035_s1s.asp" TargetMode="External"/><Relationship Id="rId24" Type="http://schemas.openxmlformats.org/officeDocument/2006/relationships/hyperlink" Target="http://hirr.hartsem.edu/research/fastfacts/fast_facts.html" TargetMode="External"/><Relationship Id="rId32" Type="http://schemas.openxmlformats.org/officeDocument/2006/relationships/hyperlink" Target="https://www.bls.gov/emp/tables/employment-by-major-industry-sector.htm" TargetMode="External"/><Relationship Id="rId37" Type="http://schemas.openxmlformats.org/officeDocument/2006/relationships/hyperlink" Target="https://www.bls.gov/emp/tables/employment-by-major-industry-sector.htm" TargetMode="External"/><Relationship Id="rId40" Type="http://schemas.openxmlformats.org/officeDocument/2006/relationships/hyperlink" Target="https://www.bls.gov/emp/tables/employment-by-major-industry-sector.htm" TargetMode="External"/><Relationship Id="rId45" Type="http://schemas.openxmlformats.org/officeDocument/2006/relationships/hyperlink" Target="https://www.eia.gov/todayinenergy/detail.php?id=46118" TargetMode="External"/><Relationship Id="rId53" Type="http://schemas.openxmlformats.org/officeDocument/2006/relationships/hyperlink" Target="https://www.bls.gov/news.release/empsit.t18.htm" TargetMode="External"/><Relationship Id="rId58" Type="http://schemas.openxmlformats.org/officeDocument/2006/relationships/hyperlink" Target="https://www.fhwa.dot.gov/ohim/onh00/our_ntns_hwys.pdf" TargetMode="External"/><Relationship Id="rId66" Type="http://schemas.openxmlformats.org/officeDocument/2006/relationships/hyperlink" Target="https://historictrades.org/national-park-service/" TargetMode="External"/><Relationship Id="rId74" Type="http://schemas.openxmlformats.org/officeDocument/2006/relationships/hyperlink" Target="https://geodata.bts.gov/datasets/usdot::north-american-roads/about" TargetMode="External"/><Relationship Id="rId79" Type="http://schemas.openxmlformats.org/officeDocument/2006/relationships/hyperlink" Target="https://epa.maps.arcgis.com/home/item.html?id=f42ecc08a3634182b8678514af35fac3&amp;sublayer=8" TargetMode="External"/><Relationship Id="rId87" Type="http://schemas.openxmlformats.org/officeDocument/2006/relationships/hyperlink" Target="https://www.science.org/doi/10.1126/science.7973702" TargetMode="External"/><Relationship Id="rId5" Type="http://schemas.openxmlformats.org/officeDocument/2006/relationships/hyperlink" Target="https://www.statista.com/statistics/457822/share-of-old-age-population-in-the-total-us-population/" TargetMode="External"/><Relationship Id="rId61" Type="http://schemas.openxmlformats.org/officeDocument/2006/relationships/hyperlink" Target="https://www.bls.gov/oes/2023/may/oes474051.htm" TargetMode="External"/><Relationship Id="rId82" Type="http://schemas.openxmlformats.org/officeDocument/2006/relationships/hyperlink" Target="https://pmc.ncbi.nlm.nih.gov/articles/PMC9384074/table/T1/" TargetMode="External"/><Relationship Id="rId90" Type="http://schemas.openxmlformats.org/officeDocument/2006/relationships/hyperlink" Target="https://journals.plos.org/ploscompbiol/article?id=10.1371/journal.pcbi.1013439" TargetMode="External"/><Relationship Id="rId95" Type="http://schemas.openxmlformats.org/officeDocument/2006/relationships/hyperlink" Target="https://epa.maps.arcgis.com/home/item.html?id=f42ecc08a3634182b8678514af35fac3" TargetMode="External"/><Relationship Id="rId19" Type="http://schemas.openxmlformats.org/officeDocument/2006/relationships/hyperlink" Target="https://data.hrsa.gov/tools/data-reporting/program-data/national/table?tableName=Full&amp;year=2020" TargetMode="External"/><Relationship Id="rId14" Type="http://schemas.openxmlformats.org/officeDocument/2006/relationships/hyperlink" Target="https://www.aha.org/statistics/fast-facts-us-hospitals" TargetMode="External"/><Relationship Id="rId22" Type="http://schemas.openxmlformats.org/officeDocument/2006/relationships/hyperlink" Target="https://www.cdc.gov/nchs/fastats/residential-care-communities.htm" TargetMode="External"/><Relationship Id="rId27" Type="http://schemas.openxmlformats.org/officeDocument/2006/relationships/hyperlink" Target="https://www.ahs.com/home-matters/real-estate/the-2022-american-home-size-index/" TargetMode="External"/><Relationship Id="rId30" Type="http://schemas.openxmlformats.org/officeDocument/2006/relationships/hyperlink" Target="https://www.ibisworld.com/industry-statistics/number-of-businesses/construction-united-states/" TargetMode="External"/><Relationship Id="rId35" Type="http://schemas.openxmlformats.org/officeDocument/2006/relationships/hyperlink" Target="https://www.eia.gov/todayinenergy/detail.php?id=46118" TargetMode="External"/><Relationship Id="rId43" Type="http://schemas.openxmlformats.org/officeDocument/2006/relationships/hyperlink" Target="https://www.statista.com/statistics/754579/patient-share-health-centers-in-us-by-age/" TargetMode="External"/><Relationship Id="rId48" Type="http://schemas.openxmlformats.org/officeDocument/2006/relationships/hyperlink" Target="https://www.bls.gov/news.release/empsit.t18.htm" TargetMode="External"/><Relationship Id="rId56" Type="http://schemas.openxmlformats.org/officeDocument/2006/relationships/hyperlink" Target="https://www.fhwa.dot.gov/ohim/onh00/our_ntns_hwys.pdf" TargetMode="External"/><Relationship Id="rId64" Type="http://schemas.openxmlformats.org/officeDocument/2006/relationships/hyperlink" Target="https://www.census.gov/content/dam/Census/library/publications/2021/acs/acs-48.pdf" TargetMode="External"/><Relationship Id="rId69" Type="http://schemas.openxmlformats.org/officeDocument/2006/relationships/hyperlink" Target="https://www.churchsalary.com/content/articles/how-many-staff-should-your-church-have-based-on-attendance.html" TargetMode="External"/><Relationship Id="rId77" Type="http://schemas.openxmlformats.org/officeDocument/2006/relationships/hyperlink" Target="https://epa.maps.arcgis.com/home/item.html?id=f42ecc08a3634182b8678514af35fac3&amp;view=list&amp;sortOrder=desc&amp;sortField=defaultFSOrder&amp;sublayer=6" TargetMode="External"/><Relationship Id="rId100" Type="http://schemas.openxmlformats.org/officeDocument/2006/relationships/table" Target="../tables/table1.xml"/><Relationship Id="rId8" Type="http://schemas.openxmlformats.org/officeDocument/2006/relationships/hyperlink" Target="https://jamanetwork.com/journals/jama/fullarticle/2572798" TargetMode="External"/><Relationship Id="rId51" Type="http://schemas.openxmlformats.org/officeDocument/2006/relationships/hyperlink" Target="https://www.bls.gov/news.release/empsit.t18.htm" TargetMode="External"/><Relationship Id="rId72" Type="http://schemas.openxmlformats.org/officeDocument/2006/relationships/hyperlink" Target="https://wexnermedical.osu.edu/blog/visit-someone-in-hospital" TargetMode="External"/><Relationship Id="rId80" Type="http://schemas.openxmlformats.org/officeDocument/2006/relationships/hyperlink" Target="https://royalsocietypublishing.org/doi/epdf/10.1098/rsif.2010.0686" TargetMode="External"/><Relationship Id="rId85" Type="http://schemas.openxmlformats.org/officeDocument/2006/relationships/hyperlink" Target="https://pmc.ncbi.nlm.nih.gov/articles/PMC3323150/" TargetMode="External"/><Relationship Id="rId93" Type="http://schemas.openxmlformats.org/officeDocument/2006/relationships/hyperlink" Target="https://www.bls.gov/news.release/atus.t01.htm" TargetMode="External"/><Relationship Id="rId98" Type="http://schemas.openxmlformats.org/officeDocument/2006/relationships/hyperlink" Target="https://epa.maps.arcgis.com/home/item.html?id=f42ecc08a3634182b8678514af35fac3" TargetMode="External"/><Relationship Id="rId3" Type="http://schemas.openxmlformats.org/officeDocument/2006/relationships/hyperlink" Target="https://www.eia.gov/todayinenergy/detail.php?id=46118" TargetMode="External"/><Relationship Id="rId12" Type="http://schemas.openxmlformats.org/officeDocument/2006/relationships/hyperlink" Target="https://www.bls.gov/emp/tables/employment-by-major-industry-sector.htm" TargetMode="External"/><Relationship Id="rId17" Type="http://schemas.openxmlformats.org/officeDocument/2006/relationships/hyperlink" Target="https://www.cdc.gov/nchs/products/databriefs/db118.htm" TargetMode="External"/><Relationship Id="rId25" Type="http://schemas.openxmlformats.org/officeDocument/2006/relationships/hyperlink" Target="http://hirr.hartsem.edu/research/fastfacts/fast_facts.html" TargetMode="External"/><Relationship Id="rId33" Type="http://schemas.openxmlformats.org/officeDocument/2006/relationships/hyperlink" Target="https://www.eia.gov/todayinenergy/detail.php?id=46118" TargetMode="External"/><Relationship Id="rId38" Type="http://schemas.openxmlformats.org/officeDocument/2006/relationships/hyperlink" Target="https://www.bls.gov/news.release/cesan.nr0.htm" TargetMode="External"/><Relationship Id="rId46" Type="http://schemas.openxmlformats.org/officeDocument/2006/relationships/hyperlink" Target="https://www.springhills.com/resources/average-size-of-assisted-living-facility" TargetMode="External"/><Relationship Id="rId59" Type="http://schemas.openxmlformats.org/officeDocument/2006/relationships/hyperlink" Target="https://www.fhwa.dot.gov/ohim/onh00/our_ntns_hwys.pdf" TargetMode="External"/><Relationship Id="rId67" Type="http://schemas.openxmlformats.org/officeDocument/2006/relationships/hyperlink" Target="https://www.nps.gov/subjects/fire/wildland-firefighter-applicant-info.htm" TargetMode="External"/><Relationship Id="rId20" Type="http://schemas.openxmlformats.org/officeDocument/2006/relationships/hyperlink" Target="https://www.cdc.gov/nchs/products/databriefs/db438.htm" TargetMode="External"/><Relationship Id="rId41" Type="http://schemas.openxmlformats.org/officeDocument/2006/relationships/hyperlink" Target="https://www.statista.com/statistics/754579/patient-share-health-centers-in-us-by-age/" TargetMode="External"/><Relationship Id="rId54" Type="http://schemas.openxmlformats.org/officeDocument/2006/relationships/hyperlink" Target="https://fred.stlouisfed.org/series/AWHAETP" TargetMode="External"/><Relationship Id="rId62" Type="http://schemas.openxmlformats.org/officeDocument/2006/relationships/hyperlink" Target="https://www.bls.gov/oes/2023/may/oes474051.htm" TargetMode="External"/><Relationship Id="rId70" Type="http://schemas.openxmlformats.org/officeDocument/2006/relationships/hyperlink" Target="https://www.definitivehc.com/resources/healthcare-insights/average-us-hospital-square-footage" TargetMode="External"/><Relationship Id="rId75" Type="http://schemas.openxmlformats.org/officeDocument/2006/relationships/hyperlink" Target="https://geodata.bts.gov/datasets/usdot::north-american-roads/about" TargetMode="External"/><Relationship Id="rId83" Type="http://schemas.openxmlformats.org/officeDocument/2006/relationships/hyperlink" Target="https://www.canada.ca/en/public-health/services/laboratory-biosafety-biosecurity/pathogen-safety-data-sheets-risk-assessment.html" TargetMode="External"/><Relationship Id="rId88" Type="http://schemas.openxmlformats.org/officeDocument/2006/relationships/hyperlink" Target="https://www.researchgate.net/publication/354466606_Epidemiology_Gray_Immunity_Model_Gives_Qualitatively_Different_Predictions/figures?lo=1" TargetMode="External"/><Relationship Id="rId91" Type="http://schemas.openxmlformats.org/officeDocument/2006/relationships/hyperlink" Target="https://ftp.cdc.gov/pub/Health_Statistics/NCHS/NHIS/SHS/2018_SHS_Table_A-17.pdf" TargetMode="External"/><Relationship Id="rId96" Type="http://schemas.openxmlformats.org/officeDocument/2006/relationships/hyperlink" Target="https://epa.maps.arcgis.com/home/item.html?id=f42ecc08a3634182b8678514af35fac3" TargetMode="External"/><Relationship Id="rId1" Type="http://schemas.openxmlformats.org/officeDocument/2006/relationships/hyperlink" Target="https://www.ibisworld.com/industry-statistics/employment/hospitals-united-states/" TargetMode="External"/><Relationship Id="rId6" Type="http://schemas.openxmlformats.org/officeDocument/2006/relationships/hyperlink" Target="https://enviroatlas.epa.gov/enviroatlas/DataFactSheets/pdf/Supplemental/PercentPopulationUnder1YearOld.pdf" TargetMode="External"/><Relationship Id="rId15" Type="http://schemas.openxmlformats.org/officeDocument/2006/relationships/hyperlink" Target="https://www.bls.gov/news.release/empsit.t18.htm" TargetMode="External"/><Relationship Id="rId23" Type="http://schemas.openxmlformats.org/officeDocument/2006/relationships/hyperlink" Target="https://www.xenia.team/articles/assisted-living-staff-to-resident-ratio-for-effective-operations" TargetMode="External"/><Relationship Id="rId28" Type="http://schemas.openxmlformats.org/officeDocument/2006/relationships/hyperlink" Target="https://flowingdata.com/2021/09/03/everything-more-from-home/" TargetMode="External"/><Relationship Id="rId36" Type="http://schemas.openxmlformats.org/officeDocument/2006/relationships/hyperlink" Target="https://www.eia.gov/todayinenergy/detail.php?id=46118" TargetMode="External"/><Relationship Id="rId49" Type="http://schemas.openxmlformats.org/officeDocument/2006/relationships/hyperlink" Target="https://www.bls.gov/news.release/empsit.t18.htm" TargetMode="External"/><Relationship Id="rId57" Type="http://schemas.openxmlformats.org/officeDocument/2006/relationships/hyperlink" Target="https://www.fhwa.dot.gov/ohim/onh00/our_ntns_hwys.pdf" TargetMode="External"/><Relationship Id="rId10" Type="http://schemas.openxmlformats.org/officeDocument/2006/relationships/hyperlink" Target="https://nces.ed.gov/surveys/sass/tables/sass0708_035_s1s.asp" TargetMode="External"/><Relationship Id="rId31" Type="http://schemas.openxmlformats.org/officeDocument/2006/relationships/hyperlink" Target="https://converged.propelsoftware.com/blogs/american-manufacturing-statistics" TargetMode="External"/><Relationship Id="rId44" Type="http://schemas.openxmlformats.org/officeDocument/2006/relationships/hyperlink" Target="https://www.eia.gov/todayinenergy/detail.php?id=46118" TargetMode="External"/><Relationship Id="rId52" Type="http://schemas.openxmlformats.org/officeDocument/2006/relationships/hyperlink" Target="https://www.bls.gov/news.release/empsit.t18.htm" TargetMode="External"/><Relationship Id="rId60" Type="http://schemas.openxmlformats.org/officeDocument/2006/relationships/hyperlink" Target="https://www.bls.gov/oes/2023/may/oes474051.htm" TargetMode="External"/><Relationship Id="rId65" Type="http://schemas.openxmlformats.org/officeDocument/2006/relationships/hyperlink" Target="https://www.fhwa.dot.gov/ohim/onh00/our_ntns_hwys.pdf" TargetMode="External"/><Relationship Id="rId73" Type="http://schemas.openxmlformats.org/officeDocument/2006/relationships/hyperlink" Target="https://www.nae.org/long-church-services-sermons/" TargetMode="External"/><Relationship Id="rId78" Type="http://schemas.openxmlformats.org/officeDocument/2006/relationships/hyperlink" Target="https://epa.maps.arcgis.com/home/item.html?id=f42ecc08a3634182b8678514af35fac3&amp;sublayer=2" TargetMode="External"/><Relationship Id="rId81" Type="http://schemas.openxmlformats.org/officeDocument/2006/relationships/hyperlink" Target="https://pmc.ncbi.nlm.nih.gov/articles/PMC8672270/" TargetMode="External"/><Relationship Id="rId86" Type="http://schemas.openxmlformats.org/officeDocument/2006/relationships/hyperlink" Target="https://www.pnas.org/doi/10.1073/pnas.0509551103" TargetMode="External"/><Relationship Id="rId94" Type="http://schemas.openxmlformats.org/officeDocument/2006/relationships/hyperlink" Target="https://epa.maps.arcgis.com/home/item.html?id=f42ecc08a3634182b8678514af35fac3&amp;view=list&amp;sortOrder=desc&amp;sortField=defaultFSOrder" TargetMode="External"/><Relationship Id="rId99" Type="http://schemas.openxmlformats.org/officeDocument/2006/relationships/hyperlink" Target="https://www.eia.gov/consumption/commercial/data/2018/bc/pdf/b1.pdf" TargetMode="External"/><Relationship Id="rId4" Type="http://schemas.openxmlformats.org/officeDocument/2006/relationships/hyperlink" Target="https://www.minneapolisfed.org/article/2022/whos-not-working-in-the-us-learn-the-basics" TargetMode="External"/><Relationship Id="rId9" Type="http://schemas.openxmlformats.org/officeDocument/2006/relationships/hyperlink" Target="https://www.census.gov/popclock/" TargetMode="External"/><Relationship Id="rId13" Type="http://schemas.openxmlformats.org/officeDocument/2006/relationships/hyperlink" Target="https://nces.ed.gov/programs/digest/d21/tables/dt21_205.40.asp" TargetMode="External"/><Relationship Id="rId18" Type="http://schemas.openxmlformats.org/officeDocument/2006/relationships/hyperlink" Target="https://data.hrsa.gov/tools/data-reporting/program-data/national/table?tableName=Full&amp;year=2020" TargetMode="External"/><Relationship Id="rId39" Type="http://schemas.openxmlformats.org/officeDocument/2006/relationships/hyperlink" Target="https://www.eia.gov/consumption/commercial/data/2018/pdf/CBECS_2018_Building_Characteristics_Flipbook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CCCC-908E-41D7-8425-32DE79FE1CEF}">
  <dimension ref="A1:G373"/>
  <sheetViews>
    <sheetView tabSelected="1" zoomScale="130" zoomScaleNormal="130" workbookViewId="0">
      <selection activeCell="D213" sqref="D213"/>
    </sheetView>
  </sheetViews>
  <sheetFormatPr defaultColWidth="36" defaultRowHeight="15" x14ac:dyDescent="0.25"/>
  <cols>
    <col min="1" max="1" width="11.5703125" bestFit="1" customWidth="1"/>
    <col min="2" max="2" width="14.28515625" bestFit="1" customWidth="1"/>
    <col min="3" max="3" width="19.7109375" bestFit="1" customWidth="1"/>
    <col min="4" max="4" width="20.140625" bestFit="1" customWidth="1"/>
    <col min="5" max="5" width="27.28515625" bestFit="1" customWidth="1"/>
    <col min="6" max="6" width="73.42578125" bestFit="1" customWidth="1"/>
    <col min="7" max="7" width="181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5">
      <c r="A2" t="s">
        <v>7</v>
      </c>
      <c r="B2" t="s">
        <v>8</v>
      </c>
      <c r="C2" t="s">
        <v>9</v>
      </c>
      <c r="D2">
        <v>335893238</v>
      </c>
      <c r="E2" t="s">
        <v>51</v>
      </c>
      <c r="G2" s="1" t="s">
        <v>10</v>
      </c>
    </row>
    <row r="3" spans="1:7" hidden="1" x14ac:dyDescent="0.25">
      <c r="A3" t="s">
        <v>7</v>
      </c>
      <c r="B3" t="s">
        <v>8</v>
      </c>
      <c r="C3" t="s">
        <v>11</v>
      </c>
      <c r="D3">
        <v>2.7E-2</v>
      </c>
      <c r="E3" t="s">
        <v>12</v>
      </c>
      <c r="G3" s="1" t="s">
        <v>13</v>
      </c>
    </row>
    <row r="4" spans="1:7" hidden="1" x14ac:dyDescent="0.25">
      <c r="A4" t="s">
        <v>7</v>
      </c>
      <c r="B4" t="s">
        <v>8</v>
      </c>
      <c r="C4" t="s">
        <v>14</v>
      </c>
      <c r="D4">
        <v>20</v>
      </c>
      <c r="E4" t="s">
        <v>15</v>
      </c>
      <c r="F4" t="s">
        <v>114</v>
      </c>
      <c r="G4" s="2" t="s">
        <v>113</v>
      </c>
    </row>
    <row r="5" spans="1:7" hidden="1" x14ac:dyDescent="0.25">
      <c r="A5" t="s">
        <v>7</v>
      </c>
      <c r="B5" t="s">
        <v>8</v>
      </c>
      <c r="C5" t="s">
        <v>16</v>
      </c>
      <c r="D5">
        <v>20</v>
      </c>
      <c r="E5" t="s">
        <v>15</v>
      </c>
      <c r="F5" t="s">
        <v>114</v>
      </c>
      <c r="G5" s="2" t="s">
        <v>113</v>
      </c>
    </row>
    <row r="6" spans="1:7" hidden="1" x14ac:dyDescent="0.25">
      <c r="A6" t="s">
        <v>7</v>
      </c>
      <c r="B6" t="s">
        <v>8</v>
      </c>
      <c r="C6" t="s">
        <v>17</v>
      </c>
      <c r="D6">
        <v>20</v>
      </c>
      <c r="E6" t="s">
        <v>15</v>
      </c>
      <c r="F6" t="s">
        <v>114</v>
      </c>
      <c r="G6" s="2" t="s">
        <v>113</v>
      </c>
    </row>
    <row r="7" spans="1:7" hidden="1" x14ac:dyDescent="0.25">
      <c r="A7" t="s">
        <v>7</v>
      </c>
      <c r="B7" t="s">
        <v>8</v>
      </c>
      <c r="C7" t="s">
        <v>18</v>
      </c>
      <c r="D7">
        <v>8.9999999999999993E-3</v>
      </c>
      <c r="E7" t="s">
        <v>12</v>
      </c>
      <c r="G7" s="1" t="s">
        <v>19</v>
      </c>
    </row>
    <row r="8" spans="1:7" hidden="1" x14ac:dyDescent="0.25">
      <c r="A8" t="s">
        <v>7</v>
      </c>
      <c r="B8" t="s">
        <v>8</v>
      </c>
      <c r="C8" t="s">
        <v>20</v>
      </c>
      <c r="D8">
        <v>0.17299999999999999</v>
      </c>
      <c r="E8" t="s">
        <v>12</v>
      </c>
      <c r="G8" s="1" t="s">
        <v>21</v>
      </c>
    </row>
    <row r="9" spans="1:7" hidden="1" x14ac:dyDescent="0.25">
      <c r="A9" t="s">
        <v>7</v>
      </c>
      <c r="B9" t="s">
        <v>8</v>
      </c>
      <c r="C9" t="s">
        <v>22</v>
      </c>
      <c r="D9">
        <v>0.24</v>
      </c>
      <c r="E9" t="s">
        <v>12</v>
      </c>
      <c r="G9" s="1" t="s">
        <v>23</v>
      </c>
    </row>
    <row r="10" spans="1:7" hidden="1" x14ac:dyDescent="0.25">
      <c r="A10" t="s">
        <v>7</v>
      </c>
      <c r="B10" t="s">
        <v>8</v>
      </c>
      <c r="C10" t="s">
        <v>24</v>
      </c>
      <c r="D10">
        <v>0</v>
      </c>
      <c r="E10" t="s">
        <v>12</v>
      </c>
      <c r="G10" s="1"/>
    </row>
    <row r="11" spans="1:7" hidden="1" x14ac:dyDescent="0.25">
      <c r="A11" t="s">
        <v>7</v>
      </c>
      <c r="B11" t="s">
        <v>8</v>
      </c>
      <c r="C11" t="s">
        <v>25</v>
      </c>
      <c r="D11">
        <v>4</v>
      </c>
      <c r="E11" t="s">
        <v>15</v>
      </c>
    </row>
    <row r="12" spans="1:7" hidden="1" x14ac:dyDescent="0.25">
      <c r="A12" t="s">
        <v>7</v>
      </c>
      <c r="B12" t="s">
        <v>8</v>
      </c>
      <c r="C12" t="s">
        <v>40</v>
      </c>
      <c r="D12">
        <v>34</v>
      </c>
      <c r="E12" t="s">
        <v>41</v>
      </c>
      <c r="G12" s="1" t="s">
        <v>88</v>
      </c>
    </row>
    <row r="13" spans="1:7" hidden="1" x14ac:dyDescent="0.25">
      <c r="A13" t="s">
        <v>7</v>
      </c>
      <c r="B13" t="s">
        <v>8</v>
      </c>
      <c r="C13" t="s">
        <v>26</v>
      </c>
      <c r="D13" s="3">
        <v>5900000</v>
      </c>
      <c r="E13" t="s">
        <v>27</v>
      </c>
      <c r="G13" s="1" t="s">
        <v>28</v>
      </c>
    </row>
    <row r="14" spans="1:7" hidden="1" x14ac:dyDescent="0.25">
      <c r="A14" t="s">
        <v>7</v>
      </c>
      <c r="B14" t="s">
        <v>8</v>
      </c>
      <c r="C14" t="s">
        <v>29</v>
      </c>
      <c r="D14" s="3">
        <v>97000000000</v>
      </c>
      <c r="E14" t="s">
        <v>30</v>
      </c>
      <c r="G14" s="1" t="s">
        <v>28</v>
      </c>
    </row>
    <row r="15" spans="1:7" hidden="1" x14ac:dyDescent="0.25">
      <c r="A15" t="s">
        <v>7</v>
      </c>
      <c r="B15" t="s">
        <v>31</v>
      </c>
      <c r="C15" t="s">
        <v>32</v>
      </c>
      <c r="D15">
        <v>1</v>
      </c>
      <c r="F15" t="s">
        <v>160</v>
      </c>
      <c r="G15" s="2" t="s">
        <v>161</v>
      </c>
    </row>
    <row r="16" spans="1:7" hidden="1" x14ac:dyDescent="0.25">
      <c r="A16" t="s">
        <v>7</v>
      </c>
      <c r="B16" t="s">
        <v>31</v>
      </c>
      <c r="C16" t="s">
        <v>145</v>
      </c>
      <c r="D16">
        <v>10000</v>
      </c>
      <c r="F16" t="s">
        <v>146</v>
      </c>
      <c r="G16" s="2" t="s">
        <v>148</v>
      </c>
    </row>
    <row r="17" spans="1:7" hidden="1" x14ac:dyDescent="0.25">
      <c r="A17" t="s">
        <v>7</v>
      </c>
      <c r="B17" t="s">
        <v>31</v>
      </c>
      <c r="C17" t="s">
        <v>144</v>
      </c>
      <c r="D17">
        <v>1000</v>
      </c>
      <c r="F17" t="s">
        <v>149</v>
      </c>
      <c r="G17" s="2" t="s">
        <v>115</v>
      </c>
    </row>
    <row r="18" spans="1:7" hidden="1" x14ac:dyDescent="0.25">
      <c r="A18" t="s">
        <v>7</v>
      </c>
      <c r="B18" t="s">
        <v>31</v>
      </c>
      <c r="C18" t="s">
        <v>143</v>
      </c>
      <c r="D18">
        <v>100</v>
      </c>
      <c r="F18" t="s">
        <v>147</v>
      </c>
      <c r="G18" s="2" t="s">
        <v>115</v>
      </c>
    </row>
    <row r="19" spans="1:7" hidden="1" x14ac:dyDescent="0.25">
      <c r="G19" s="2" t="s">
        <v>148</v>
      </c>
    </row>
    <row r="20" spans="1:7" hidden="1" x14ac:dyDescent="0.25">
      <c r="A20" s="12" t="s">
        <v>7</v>
      </c>
      <c r="B20" s="12" t="s">
        <v>31</v>
      </c>
      <c r="C20" s="12" t="s">
        <v>33</v>
      </c>
      <c r="D20" s="12">
        <v>1.82</v>
      </c>
      <c r="E20" s="12"/>
      <c r="F20" s="12" t="s">
        <v>159</v>
      </c>
      <c r="G20" s="13" t="s">
        <v>156</v>
      </c>
    </row>
    <row r="21" spans="1:7" hidden="1" x14ac:dyDescent="0.25">
      <c r="F21" t="s">
        <v>157</v>
      </c>
      <c r="G21" s="2" t="s">
        <v>116</v>
      </c>
    </row>
    <row r="22" spans="1:7" hidden="1" x14ac:dyDescent="0.25">
      <c r="A22" t="s">
        <v>7</v>
      </c>
      <c r="B22" t="s">
        <v>133</v>
      </c>
      <c r="C22" t="s">
        <v>136</v>
      </c>
      <c r="D22">
        <f>362/24</f>
        <v>15.083333333333334</v>
      </c>
      <c r="E22" t="s">
        <v>140</v>
      </c>
      <c r="F22" t="s">
        <v>151</v>
      </c>
      <c r="G22" s="1" t="s">
        <v>153</v>
      </c>
    </row>
    <row r="23" spans="1:7" hidden="1" x14ac:dyDescent="0.25">
      <c r="F23" t="s">
        <v>158</v>
      </c>
      <c r="G23" s="1" t="s">
        <v>154</v>
      </c>
    </row>
    <row r="24" spans="1:7" hidden="1" x14ac:dyDescent="0.25">
      <c r="A24" t="s">
        <v>7</v>
      </c>
      <c r="B24" t="s">
        <v>133</v>
      </c>
      <c r="C24" t="s">
        <v>135</v>
      </c>
      <c r="D24">
        <f>1750/8</f>
        <v>218.75</v>
      </c>
      <c r="E24" t="s">
        <v>140</v>
      </c>
      <c r="F24" t="s">
        <v>152</v>
      </c>
      <c r="G24" s="2" t="s">
        <v>150</v>
      </c>
    </row>
    <row r="25" spans="1:7" hidden="1" x14ac:dyDescent="0.25">
      <c r="A25" t="s">
        <v>7</v>
      </c>
      <c r="B25" t="s">
        <v>133</v>
      </c>
      <c r="C25" t="s">
        <v>134</v>
      </c>
      <c r="D25">
        <f>16*D26</f>
        <v>5760</v>
      </c>
      <c r="E25" t="s">
        <v>140</v>
      </c>
      <c r="F25" t="s">
        <v>155</v>
      </c>
      <c r="G25" s="2" t="s">
        <v>137</v>
      </c>
    </row>
    <row r="26" spans="1:7" hidden="1" x14ac:dyDescent="0.25">
      <c r="A26" t="s">
        <v>7</v>
      </c>
      <c r="B26" t="s">
        <v>133</v>
      </c>
      <c r="C26" t="s">
        <v>138</v>
      </c>
      <c r="D26">
        <f>0.5*12*60</f>
        <v>360</v>
      </c>
      <c r="E26" t="s">
        <v>139</v>
      </c>
      <c r="F26" t="s">
        <v>142</v>
      </c>
      <c r="G26" s="2" t="s">
        <v>141</v>
      </c>
    </row>
    <row r="27" spans="1:7" hidden="1" x14ac:dyDescent="0.25">
      <c r="A27" t="s">
        <v>34</v>
      </c>
      <c r="B27" t="s">
        <v>26</v>
      </c>
      <c r="C27" t="s">
        <v>9</v>
      </c>
      <c r="D27">
        <v>128961</v>
      </c>
      <c r="E27" t="s">
        <v>35</v>
      </c>
      <c r="F27" t="s">
        <v>172</v>
      </c>
      <c r="G27" s="1" t="s">
        <v>36</v>
      </c>
    </row>
    <row r="28" spans="1:7" hidden="1" x14ac:dyDescent="0.25">
      <c r="A28" t="s">
        <v>34</v>
      </c>
      <c r="B28" t="s">
        <v>26</v>
      </c>
      <c r="C28" t="s">
        <v>29</v>
      </c>
      <c r="D28">
        <f>CONVERT(31000,"ft^2","m^2")</f>
        <v>2879.99424</v>
      </c>
      <c r="E28" t="s">
        <v>37</v>
      </c>
      <c r="F28" t="s">
        <v>173</v>
      </c>
      <c r="G28" s="2" t="s">
        <v>28</v>
      </c>
    </row>
    <row r="29" spans="1:7" hidden="1" x14ac:dyDescent="0.25">
      <c r="A29" t="s">
        <v>34</v>
      </c>
      <c r="B29" t="s">
        <v>38</v>
      </c>
      <c r="C29" t="s">
        <v>9</v>
      </c>
      <c r="D29" s="3">
        <v>3817700</v>
      </c>
      <c r="E29" t="s">
        <v>51</v>
      </c>
      <c r="G29" s="2" t="s">
        <v>39</v>
      </c>
    </row>
    <row r="30" spans="1:7" hidden="1" x14ac:dyDescent="0.25">
      <c r="A30" t="s">
        <v>34</v>
      </c>
      <c r="B30" t="s">
        <v>38</v>
      </c>
      <c r="C30" t="s">
        <v>40</v>
      </c>
      <c r="D30">
        <v>36</v>
      </c>
      <c r="E30" t="s">
        <v>41</v>
      </c>
      <c r="G30" s="2" t="s">
        <v>42</v>
      </c>
    </row>
    <row r="31" spans="1:7" hidden="1" x14ac:dyDescent="0.25">
      <c r="A31" t="s">
        <v>34</v>
      </c>
      <c r="B31" t="s">
        <v>38</v>
      </c>
      <c r="C31" t="s">
        <v>18</v>
      </c>
      <c r="D31">
        <v>0</v>
      </c>
      <c r="G31" s="2"/>
    </row>
    <row r="32" spans="1:7" hidden="1" x14ac:dyDescent="0.25">
      <c r="A32" t="s">
        <v>34</v>
      </c>
      <c r="B32" t="s">
        <v>38</v>
      </c>
      <c r="C32" t="s">
        <v>20</v>
      </c>
      <c r="D32">
        <v>0</v>
      </c>
      <c r="G32" s="2"/>
    </row>
    <row r="33" spans="1:7" hidden="1" x14ac:dyDescent="0.25">
      <c r="A33" t="s">
        <v>34</v>
      </c>
      <c r="B33" t="s">
        <v>38</v>
      </c>
      <c r="C33" t="s">
        <v>11</v>
      </c>
      <c r="F33" t="s">
        <v>43</v>
      </c>
      <c r="G33" s="2"/>
    </row>
    <row r="34" spans="1:7" hidden="1" x14ac:dyDescent="0.25">
      <c r="A34" t="s">
        <v>34</v>
      </c>
      <c r="B34" t="s">
        <v>38</v>
      </c>
      <c r="C34" t="s">
        <v>24</v>
      </c>
      <c r="F34" t="s">
        <v>43</v>
      </c>
      <c r="G34" s="2"/>
    </row>
    <row r="35" spans="1:7" hidden="1" x14ac:dyDescent="0.25">
      <c r="A35" t="s">
        <v>34</v>
      </c>
      <c r="B35" t="s">
        <v>44</v>
      </c>
      <c r="C35" t="s">
        <v>9</v>
      </c>
      <c r="D35" s="3">
        <v>56282248</v>
      </c>
      <c r="E35" t="s">
        <v>51</v>
      </c>
      <c r="G35" s="1" t="s">
        <v>45</v>
      </c>
    </row>
    <row r="36" spans="1:7" hidden="1" x14ac:dyDescent="0.25">
      <c r="A36" t="s">
        <v>34</v>
      </c>
      <c r="B36" t="s">
        <v>44</v>
      </c>
      <c r="C36" t="s">
        <v>40</v>
      </c>
      <c r="D36">
        <v>36</v>
      </c>
      <c r="E36" t="s">
        <v>41</v>
      </c>
      <c r="G36" s="2" t="s">
        <v>42</v>
      </c>
    </row>
    <row r="37" spans="1:7" hidden="1" x14ac:dyDescent="0.25">
      <c r="A37" t="s">
        <v>34</v>
      </c>
      <c r="B37" t="s">
        <v>44</v>
      </c>
      <c r="C37" t="s">
        <v>18</v>
      </c>
      <c r="D37">
        <v>0</v>
      </c>
      <c r="G37" s="2"/>
    </row>
    <row r="38" spans="1:7" hidden="1" x14ac:dyDescent="0.25">
      <c r="A38" t="s">
        <v>34</v>
      </c>
      <c r="B38" t="s">
        <v>44</v>
      </c>
      <c r="C38" t="s">
        <v>20</v>
      </c>
      <c r="D38">
        <v>0</v>
      </c>
      <c r="G38" s="2"/>
    </row>
    <row r="39" spans="1:7" hidden="1" x14ac:dyDescent="0.25">
      <c r="A39" t="s">
        <v>34</v>
      </c>
      <c r="B39" t="s">
        <v>44</v>
      </c>
      <c r="C39" t="s">
        <v>11</v>
      </c>
      <c r="F39" t="s">
        <v>43</v>
      </c>
      <c r="G39" s="2"/>
    </row>
    <row r="40" spans="1:7" hidden="1" x14ac:dyDescent="0.25">
      <c r="A40" t="s">
        <v>34</v>
      </c>
      <c r="B40" t="s">
        <v>44</v>
      </c>
      <c r="C40" t="s">
        <v>24</v>
      </c>
      <c r="F40" t="s">
        <v>43</v>
      </c>
      <c r="G40" s="2"/>
    </row>
    <row r="41" spans="1:7" hidden="1" x14ac:dyDescent="0.25">
      <c r="A41" t="s">
        <v>34</v>
      </c>
      <c r="B41" t="s">
        <v>46</v>
      </c>
      <c r="C41" t="s">
        <v>9</v>
      </c>
      <c r="D41">
        <v>0</v>
      </c>
      <c r="E41" t="s">
        <v>51</v>
      </c>
      <c r="G41" s="2"/>
    </row>
    <row r="42" spans="1:7" hidden="1" x14ac:dyDescent="0.25">
      <c r="A42" t="s">
        <v>34</v>
      </c>
      <c r="B42" t="s">
        <v>46</v>
      </c>
      <c r="C42" t="s">
        <v>40</v>
      </c>
      <c r="D42">
        <v>0</v>
      </c>
      <c r="E42" t="s">
        <v>41</v>
      </c>
      <c r="G42" s="2"/>
    </row>
    <row r="43" spans="1:7" hidden="1" x14ac:dyDescent="0.25">
      <c r="A43" t="s">
        <v>34</v>
      </c>
      <c r="B43" t="s">
        <v>46</v>
      </c>
      <c r="C43" t="s">
        <v>18</v>
      </c>
      <c r="F43" t="s">
        <v>43</v>
      </c>
      <c r="G43" s="2"/>
    </row>
    <row r="44" spans="1:7" hidden="1" x14ac:dyDescent="0.25">
      <c r="A44" t="s">
        <v>34</v>
      </c>
      <c r="B44" t="s">
        <v>46</v>
      </c>
      <c r="C44" t="s">
        <v>20</v>
      </c>
      <c r="F44" t="s">
        <v>43</v>
      </c>
      <c r="G44" s="2"/>
    </row>
    <row r="45" spans="1:7" hidden="1" x14ac:dyDescent="0.25">
      <c r="A45" t="s">
        <v>34</v>
      </c>
      <c r="B45" t="s">
        <v>46</v>
      </c>
      <c r="C45" t="s">
        <v>11</v>
      </c>
      <c r="F45" t="s">
        <v>43</v>
      </c>
      <c r="G45" s="2"/>
    </row>
    <row r="46" spans="1:7" hidden="1" x14ac:dyDescent="0.25">
      <c r="A46" t="s">
        <v>34</v>
      </c>
      <c r="B46" t="s">
        <v>46</v>
      </c>
      <c r="C46" t="s">
        <v>24</v>
      </c>
      <c r="F46" t="s">
        <v>43</v>
      </c>
      <c r="G46" s="2"/>
    </row>
    <row r="47" spans="1:7" hidden="1" x14ac:dyDescent="0.25">
      <c r="A47" t="s">
        <v>34</v>
      </c>
      <c r="B47" t="s">
        <v>47</v>
      </c>
      <c r="C47" t="s">
        <v>9</v>
      </c>
      <c r="D47">
        <v>0</v>
      </c>
      <c r="E47" t="s">
        <v>51</v>
      </c>
      <c r="G47" s="2"/>
    </row>
    <row r="48" spans="1:7" hidden="1" x14ac:dyDescent="0.25">
      <c r="A48" t="s">
        <v>34</v>
      </c>
      <c r="B48" t="s">
        <v>47</v>
      </c>
      <c r="C48" t="s">
        <v>40</v>
      </c>
      <c r="D48">
        <v>0</v>
      </c>
      <c r="E48" t="s">
        <v>41</v>
      </c>
      <c r="G48" s="2"/>
    </row>
    <row r="49" spans="1:7" hidden="1" x14ac:dyDescent="0.25">
      <c r="A49" t="s">
        <v>34</v>
      </c>
      <c r="B49" t="s">
        <v>47</v>
      </c>
      <c r="C49" t="s">
        <v>18</v>
      </c>
      <c r="F49" t="s">
        <v>43</v>
      </c>
      <c r="G49" s="2"/>
    </row>
    <row r="50" spans="1:7" hidden="1" x14ac:dyDescent="0.25">
      <c r="A50" t="s">
        <v>34</v>
      </c>
      <c r="B50" t="s">
        <v>47</v>
      </c>
      <c r="C50" t="s">
        <v>20</v>
      </c>
      <c r="F50" t="s">
        <v>43</v>
      </c>
      <c r="G50" s="2"/>
    </row>
    <row r="51" spans="1:7" hidden="1" x14ac:dyDescent="0.25">
      <c r="A51" t="s">
        <v>34</v>
      </c>
      <c r="B51" t="s">
        <v>47</v>
      </c>
      <c r="C51" t="s">
        <v>11</v>
      </c>
      <c r="F51" t="s">
        <v>43</v>
      </c>
      <c r="G51" s="2"/>
    </row>
    <row r="52" spans="1:7" hidden="1" x14ac:dyDescent="0.25">
      <c r="A52" t="s">
        <v>34</v>
      </c>
      <c r="B52" t="s">
        <v>47</v>
      </c>
      <c r="C52" t="s">
        <v>24</v>
      </c>
      <c r="F52" t="s">
        <v>43</v>
      </c>
      <c r="G52" s="2"/>
    </row>
    <row r="53" spans="1:7" hidden="1" x14ac:dyDescent="0.25">
      <c r="A53" t="s">
        <v>48</v>
      </c>
      <c r="B53" t="s">
        <v>26</v>
      </c>
      <c r="C53" t="s">
        <v>9</v>
      </c>
      <c r="D53">
        <v>6120</v>
      </c>
      <c r="E53" t="s">
        <v>35</v>
      </c>
      <c r="F53" s="14"/>
      <c r="G53" s="1" t="s">
        <v>49</v>
      </c>
    </row>
    <row r="54" spans="1:7" hidden="1" x14ac:dyDescent="0.25">
      <c r="A54" t="s">
        <v>48</v>
      </c>
      <c r="B54" t="s">
        <v>26</v>
      </c>
      <c r="C54" t="s">
        <v>29</v>
      </c>
      <c r="D54">
        <f>CONVERT(358061,"ft^2","m^2")</f>
        <v>33264.95540544</v>
      </c>
      <c r="E54" t="s">
        <v>37</v>
      </c>
      <c r="F54" t="s">
        <v>110</v>
      </c>
      <c r="G54" s="2" t="s">
        <v>28</v>
      </c>
    </row>
    <row r="55" spans="1:7" hidden="1" x14ac:dyDescent="0.25">
      <c r="F55" t="s">
        <v>111</v>
      </c>
      <c r="G55" s="2" t="s">
        <v>109</v>
      </c>
    </row>
    <row r="56" spans="1:7" hidden="1" x14ac:dyDescent="0.25">
      <c r="A56" t="s">
        <v>48</v>
      </c>
      <c r="B56" t="s">
        <v>38</v>
      </c>
      <c r="C56" t="s">
        <v>9</v>
      </c>
      <c r="D56" s="3">
        <v>5751078</v>
      </c>
      <c r="E56" t="s">
        <v>51</v>
      </c>
      <c r="G56" s="1" t="s">
        <v>50</v>
      </c>
    </row>
    <row r="57" spans="1:7" hidden="1" x14ac:dyDescent="0.25">
      <c r="A57" t="s">
        <v>48</v>
      </c>
      <c r="B57" t="s">
        <v>38</v>
      </c>
      <c r="C57" t="s">
        <v>40</v>
      </c>
      <c r="D57">
        <v>33.299999999999997</v>
      </c>
      <c r="E57" t="s">
        <v>41</v>
      </c>
      <c r="G57" s="1" t="s">
        <v>84</v>
      </c>
    </row>
    <row r="58" spans="1:7" hidden="1" x14ac:dyDescent="0.25">
      <c r="A58" t="s">
        <v>48</v>
      </c>
      <c r="B58" t="s">
        <v>38</v>
      </c>
      <c r="C58" t="s">
        <v>18</v>
      </c>
      <c r="D58">
        <v>0</v>
      </c>
    </row>
    <row r="59" spans="1:7" hidden="1" x14ac:dyDescent="0.25">
      <c r="A59" t="s">
        <v>48</v>
      </c>
      <c r="B59" t="s">
        <v>38</v>
      </c>
      <c r="C59" t="s">
        <v>20</v>
      </c>
      <c r="D59">
        <v>0</v>
      </c>
    </row>
    <row r="60" spans="1:7" hidden="1" x14ac:dyDescent="0.25">
      <c r="A60" t="s">
        <v>48</v>
      </c>
      <c r="B60" t="s">
        <v>38</v>
      </c>
      <c r="C60" t="s">
        <v>11</v>
      </c>
      <c r="F60" t="s">
        <v>43</v>
      </c>
    </row>
    <row r="61" spans="1:7" hidden="1" x14ac:dyDescent="0.25">
      <c r="A61" t="s">
        <v>48</v>
      </c>
      <c r="B61" t="s">
        <v>38</v>
      </c>
      <c r="C61" t="s">
        <v>24</v>
      </c>
      <c r="F61" t="s">
        <v>43</v>
      </c>
    </row>
    <row r="62" spans="1:7" hidden="1" x14ac:dyDescent="0.25">
      <c r="A62" t="s">
        <v>48</v>
      </c>
      <c r="B62" t="s">
        <v>44</v>
      </c>
      <c r="C62" t="s">
        <v>9</v>
      </c>
      <c r="D62" s="3">
        <f>(0.179*D2+0.2534*2.5*D2+0.234*6.5*D2+0.128*10*D2)/52</f>
        <v>23341350.298326924</v>
      </c>
      <c r="E62" t="s">
        <v>51</v>
      </c>
      <c r="F62" t="s">
        <v>162</v>
      </c>
      <c r="G62" s="1" t="s">
        <v>163</v>
      </c>
    </row>
    <row r="63" spans="1:7" hidden="1" x14ac:dyDescent="0.25">
      <c r="A63" t="s">
        <v>48</v>
      </c>
      <c r="B63" t="s">
        <v>44</v>
      </c>
      <c r="C63" t="s">
        <v>40</v>
      </c>
      <c r="D63">
        <f>116/60</f>
        <v>1.9333333333333333</v>
      </c>
      <c r="E63" t="s">
        <v>41</v>
      </c>
      <c r="F63" t="s">
        <v>164</v>
      </c>
      <c r="G63" s="1" t="s">
        <v>52</v>
      </c>
    </row>
    <row r="64" spans="1:7" hidden="1" x14ac:dyDescent="0.25">
      <c r="A64" t="s">
        <v>48</v>
      </c>
      <c r="B64" t="s">
        <v>44</v>
      </c>
      <c r="C64" t="s">
        <v>18</v>
      </c>
      <c r="D64" s="5">
        <f>0.07/5</f>
        <v>1.4000000000000002E-2</v>
      </c>
      <c r="G64" s="1" t="s">
        <v>80</v>
      </c>
    </row>
    <row r="65" spans="1:7" hidden="1" x14ac:dyDescent="0.25">
      <c r="A65" t="s">
        <v>48</v>
      </c>
      <c r="B65" t="s">
        <v>44</v>
      </c>
      <c r="C65" t="s">
        <v>20</v>
      </c>
      <c r="D65" s="6">
        <f>SUM(5,3,2,1,1)/100</f>
        <v>0.12</v>
      </c>
      <c r="G65" s="1" t="s">
        <v>80</v>
      </c>
    </row>
    <row r="66" spans="1:7" hidden="1" x14ac:dyDescent="0.25">
      <c r="A66" t="s">
        <v>48</v>
      </c>
      <c r="B66" t="s">
        <v>44</v>
      </c>
      <c r="C66" t="s">
        <v>11</v>
      </c>
      <c r="F66" t="s">
        <v>43</v>
      </c>
      <c r="G66" s="1"/>
    </row>
    <row r="67" spans="1:7" hidden="1" x14ac:dyDescent="0.25">
      <c r="A67" t="s">
        <v>48</v>
      </c>
      <c r="B67" t="s">
        <v>44</v>
      </c>
      <c r="C67" t="s">
        <v>24</v>
      </c>
      <c r="G67" s="1" t="s">
        <v>80</v>
      </c>
    </row>
    <row r="68" spans="1:7" hidden="1" x14ac:dyDescent="0.25">
      <c r="A68" t="s">
        <v>48</v>
      </c>
      <c r="B68" t="s">
        <v>46</v>
      </c>
      <c r="C68" t="s">
        <v>9</v>
      </c>
      <c r="D68" s="3">
        <f>(0.054*D2+0.011*2*D2+0.09*3*D2)/52</f>
        <v>2234981.929769231</v>
      </c>
      <c r="E68" t="s">
        <v>51</v>
      </c>
      <c r="G68" s="1" t="s">
        <v>165</v>
      </c>
    </row>
    <row r="69" spans="1:7" hidden="1" x14ac:dyDescent="0.25">
      <c r="A69" t="s">
        <v>48</v>
      </c>
      <c r="B69" t="s">
        <v>46</v>
      </c>
      <c r="C69" t="s">
        <v>40</v>
      </c>
      <c r="D69">
        <f>4.8*24</f>
        <v>115.19999999999999</v>
      </c>
      <c r="E69" t="s">
        <v>41</v>
      </c>
      <c r="G69" s="1" t="s">
        <v>53</v>
      </c>
    </row>
    <row r="70" spans="1:7" hidden="1" x14ac:dyDescent="0.25">
      <c r="A70" t="s">
        <v>48</v>
      </c>
      <c r="B70" t="s">
        <v>46</v>
      </c>
      <c r="C70" t="s">
        <v>18</v>
      </c>
      <c r="D70">
        <f>454176/31277341</f>
        <v>1.4520927466308597E-2</v>
      </c>
      <c r="G70" s="1" t="s">
        <v>54</v>
      </c>
    </row>
    <row r="71" spans="1:7" hidden="1" x14ac:dyDescent="0.25">
      <c r="A71" t="s">
        <v>48</v>
      </c>
      <c r="B71" t="s">
        <v>46</v>
      </c>
      <c r="C71" t="s">
        <v>20</v>
      </c>
      <c r="D71">
        <f>SUM(1481961,987093,610927,351279,276893)/31277341</f>
        <v>0.11855716891023441</v>
      </c>
      <c r="G71" s="1" t="s">
        <v>54</v>
      </c>
    </row>
    <row r="72" spans="1:7" hidden="1" x14ac:dyDescent="0.25">
      <c r="A72" t="s">
        <v>48</v>
      </c>
      <c r="B72" t="s">
        <v>46</v>
      </c>
      <c r="C72" t="s">
        <v>11</v>
      </c>
      <c r="D72">
        <v>0.32100000000000001</v>
      </c>
      <c r="G72" s="1" t="s">
        <v>55</v>
      </c>
    </row>
    <row r="73" spans="1:7" hidden="1" x14ac:dyDescent="0.25">
      <c r="A73" t="s">
        <v>48</v>
      </c>
      <c r="B73" t="s">
        <v>46</v>
      </c>
      <c r="C73" t="s">
        <v>24</v>
      </c>
      <c r="F73" t="s">
        <v>43</v>
      </c>
    </row>
    <row r="74" spans="1:7" hidden="1" x14ac:dyDescent="0.25">
      <c r="A74" t="s">
        <v>48</v>
      </c>
      <c r="B74" t="s">
        <v>47</v>
      </c>
      <c r="C74" t="s">
        <v>9</v>
      </c>
      <c r="D74" s="10">
        <f>D68</f>
        <v>2234981.929769231</v>
      </c>
      <c r="E74" t="s">
        <v>51</v>
      </c>
      <c r="F74" t="s">
        <v>117</v>
      </c>
      <c r="G74" s="1"/>
    </row>
    <row r="75" spans="1:7" hidden="1" x14ac:dyDescent="0.25">
      <c r="A75" t="s">
        <v>48</v>
      </c>
      <c r="B75" t="s">
        <v>47</v>
      </c>
      <c r="C75" t="s">
        <v>40</v>
      </c>
      <c r="D75">
        <v>1</v>
      </c>
      <c r="E75" t="s">
        <v>41</v>
      </c>
      <c r="F75" t="s">
        <v>119</v>
      </c>
      <c r="G75" s="1" t="s">
        <v>118</v>
      </c>
    </row>
    <row r="76" spans="1:7" hidden="1" x14ac:dyDescent="0.25">
      <c r="A76" t="s">
        <v>48</v>
      </c>
      <c r="B76" t="s">
        <v>47</v>
      </c>
      <c r="C76" t="s">
        <v>18</v>
      </c>
      <c r="F76" t="s">
        <v>43</v>
      </c>
    </row>
    <row r="77" spans="1:7" hidden="1" x14ac:dyDescent="0.25">
      <c r="A77" t="s">
        <v>48</v>
      </c>
      <c r="B77" t="s">
        <v>47</v>
      </c>
      <c r="C77" t="s">
        <v>20</v>
      </c>
      <c r="F77" t="s">
        <v>43</v>
      </c>
    </row>
    <row r="78" spans="1:7" hidden="1" x14ac:dyDescent="0.25">
      <c r="A78" t="s">
        <v>48</v>
      </c>
      <c r="B78" t="s">
        <v>47</v>
      </c>
      <c r="C78" t="s">
        <v>11</v>
      </c>
      <c r="F78" t="s">
        <v>43</v>
      </c>
    </row>
    <row r="79" spans="1:7" hidden="1" x14ac:dyDescent="0.25">
      <c r="A79" t="s">
        <v>48</v>
      </c>
      <c r="B79" t="s">
        <v>47</v>
      </c>
      <c r="C79" t="s">
        <v>24</v>
      </c>
      <c r="F79" t="s">
        <v>43</v>
      </c>
    </row>
    <row r="80" spans="1:7" hidden="1" x14ac:dyDescent="0.25">
      <c r="A80" t="s">
        <v>56</v>
      </c>
      <c r="B80" t="s">
        <v>26</v>
      </c>
      <c r="C80" t="s">
        <v>9</v>
      </c>
      <c r="D80">
        <v>30600</v>
      </c>
      <c r="E80" t="s">
        <v>35</v>
      </c>
      <c r="G80" s="1" t="s">
        <v>57</v>
      </c>
    </row>
    <row r="81" spans="1:7" hidden="1" x14ac:dyDescent="0.25">
      <c r="A81" t="s">
        <v>56</v>
      </c>
      <c r="B81" t="s">
        <v>26</v>
      </c>
      <c r="C81" t="s">
        <v>29</v>
      </c>
      <c r="D81">
        <f>CONVERT(D94*500/D80,"ft^2","m^2")</f>
        <v>1242.9576658823528</v>
      </c>
      <c r="E81" t="s">
        <v>37</v>
      </c>
      <c r="F81" t="s">
        <v>83</v>
      </c>
      <c r="G81" s="1" t="s">
        <v>82</v>
      </c>
    </row>
    <row r="82" spans="1:7" hidden="1" x14ac:dyDescent="0.25">
      <c r="A82" t="s">
        <v>56</v>
      </c>
      <c r="B82" t="s">
        <v>38</v>
      </c>
      <c r="C82" t="s">
        <v>9</v>
      </c>
      <c r="D82">
        <f>D94/4</f>
        <v>204700</v>
      </c>
      <c r="E82" t="s">
        <v>51</v>
      </c>
      <c r="G82" s="1" t="s">
        <v>58</v>
      </c>
    </row>
    <row r="83" spans="1:7" hidden="1" x14ac:dyDescent="0.25">
      <c r="A83" t="s">
        <v>56</v>
      </c>
      <c r="B83" t="s">
        <v>38</v>
      </c>
      <c r="C83" t="s">
        <v>40</v>
      </c>
      <c r="D83">
        <v>33.299999999999997</v>
      </c>
      <c r="E83" t="s">
        <v>41</v>
      </c>
      <c r="G83" s="1" t="s">
        <v>84</v>
      </c>
    </row>
    <row r="84" spans="1:7" hidden="1" x14ac:dyDescent="0.25">
      <c r="A84" t="s">
        <v>56</v>
      </c>
      <c r="B84" t="s">
        <v>38</v>
      </c>
      <c r="C84" t="s">
        <v>18</v>
      </c>
      <c r="D84">
        <v>0</v>
      </c>
    </row>
    <row r="85" spans="1:7" hidden="1" x14ac:dyDescent="0.25">
      <c r="A85" t="s">
        <v>56</v>
      </c>
      <c r="B85" t="s">
        <v>38</v>
      </c>
      <c r="C85" t="s">
        <v>20</v>
      </c>
      <c r="D85">
        <v>0</v>
      </c>
    </row>
    <row r="86" spans="1:7" hidden="1" x14ac:dyDescent="0.25">
      <c r="A86" t="s">
        <v>56</v>
      </c>
      <c r="B86" t="s">
        <v>38</v>
      </c>
      <c r="C86" t="s">
        <v>11</v>
      </c>
      <c r="F86" t="s">
        <v>43</v>
      </c>
    </row>
    <row r="87" spans="1:7" hidden="1" x14ac:dyDescent="0.25">
      <c r="A87" t="s">
        <v>56</v>
      </c>
      <c r="B87" t="s">
        <v>38</v>
      </c>
      <c r="C87" t="s">
        <v>24</v>
      </c>
      <c r="F87" t="s">
        <v>43</v>
      </c>
    </row>
    <row r="88" spans="1:7" hidden="1" x14ac:dyDescent="0.25">
      <c r="A88" t="s">
        <v>56</v>
      </c>
      <c r="B88" t="s">
        <v>44</v>
      </c>
      <c r="C88" t="s">
        <v>9</v>
      </c>
      <c r="D88">
        <v>0</v>
      </c>
      <c r="E88" t="s">
        <v>51</v>
      </c>
    </row>
    <row r="89" spans="1:7" hidden="1" x14ac:dyDescent="0.25">
      <c r="A89" t="s">
        <v>56</v>
      </c>
      <c r="B89" t="s">
        <v>44</v>
      </c>
      <c r="C89" t="s">
        <v>40</v>
      </c>
      <c r="D89">
        <v>0</v>
      </c>
      <c r="E89" t="s">
        <v>41</v>
      </c>
    </row>
    <row r="90" spans="1:7" hidden="1" x14ac:dyDescent="0.25">
      <c r="A90" t="s">
        <v>56</v>
      </c>
      <c r="B90" t="s">
        <v>44</v>
      </c>
      <c r="C90" t="s">
        <v>18</v>
      </c>
      <c r="F90" t="s">
        <v>43</v>
      </c>
    </row>
    <row r="91" spans="1:7" hidden="1" x14ac:dyDescent="0.25">
      <c r="A91" t="s">
        <v>56</v>
      </c>
      <c r="B91" t="s">
        <v>44</v>
      </c>
      <c r="C91" t="s">
        <v>20</v>
      </c>
      <c r="F91" t="s">
        <v>43</v>
      </c>
    </row>
    <row r="92" spans="1:7" hidden="1" x14ac:dyDescent="0.25">
      <c r="A92" t="s">
        <v>56</v>
      </c>
      <c r="B92" t="s">
        <v>44</v>
      </c>
      <c r="C92" t="s">
        <v>11</v>
      </c>
      <c r="F92" t="s">
        <v>43</v>
      </c>
    </row>
    <row r="93" spans="1:7" hidden="1" x14ac:dyDescent="0.25">
      <c r="A93" t="s">
        <v>56</v>
      </c>
      <c r="B93" t="s">
        <v>44</v>
      </c>
      <c r="C93" t="s">
        <v>24</v>
      </c>
      <c r="F93" t="s">
        <v>43</v>
      </c>
    </row>
    <row r="94" spans="1:7" hidden="1" x14ac:dyDescent="0.25">
      <c r="A94" t="s">
        <v>56</v>
      </c>
      <c r="B94" t="s">
        <v>46</v>
      </c>
      <c r="C94" t="s">
        <v>9</v>
      </c>
      <c r="D94">
        <v>818800</v>
      </c>
      <c r="E94" t="s">
        <v>51</v>
      </c>
      <c r="G94" s="1" t="s">
        <v>57</v>
      </c>
    </row>
    <row r="95" spans="1:7" hidden="1" x14ac:dyDescent="0.25">
      <c r="A95" t="s">
        <v>56</v>
      </c>
      <c r="B95" t="s">
        <v>46</v>
      </c>
      <c r="C95" t="s">
        <v>40</v>
      </c>
      <c r="D95">
        <f>24*7</f>
        <v>168</v>
      </c>
      <c r="E95" t="s">
        <v>41</v>
      </c>
    </row>
    <row r="96" spans="1:7" hidden="1" x14ac:dyDescent="0.25">
      <c r="A96" t="s">
        <v>56</v>
      </c>
      <c r="B96" t="s">
        <v>46</v>
      </c>
      <c r="C96" t="s">
        <v>18</v>
      </c>
      <c r="D96">
        <v>0</v>
      </c>
    </row>
    <row r="97" spans="1:7" hidden="1" x14ac:dyDescent="0.25">
      <c r="A97" t="s">
        <v>56</v>
      </c>
      <c r="B97" t="s">
        <v>46</v>
      </c>
      <c r="C97" t="s">
        <v>20</v>
      </c>
      <c r="D97">
        <v>1</v>
      </c>
    </row>
    <row r="98" spans="1:7" hidden="1" x14ac:dyDescent="0.25">
      <c r="A98" t="s">
        <v>56</v>
      </c>
      <c r="B98" t="s">
        <v>46</v>
      </c>
      <c r="C98" t="s">
        <v>11</v>
      </c>
      <c r="D98">
        <v>0</v>
      </c>
    </row>
    <row r="99" spans="1:7" hidden="1" x14ac:dyDescent="0.25">
      <c r="A99" t="s">
        <v>56</v>
      </c>
      <c r="B99" t="s">
        <v>46</v>
      </c>
      <c r="C99" t="s">
        <v>24</v>
      </c>
      <c r="D99">
        <v>0</v>
      </c>
    </row>
    <row r="100" spans="1:7" hidden="1" x14ac:dyDescent="0.25">
      <c r="A100" t="s">
        <v>56</v>
      </c>
      <c r="B100" t="s">
        <v>47</v>
      </c>
      <c r="C100" t="s">
        <v>9</v>
      </c>
      <c r="D100">
        <v>0</v>
      </c>
      <c r="E100" t="s">
        <v>51</v>
      </c>
    </row>
    <row r="101" spans="1:7" hidden="1" x14ac:dyDescent="0.25">
      <c r="A101" t="s">
        <v>56</v>
      </c>
      <c r="B101" t="s">
        <v>47</v>
      </c>
      <c r="C101" t="s">
        <v>40</v>
      </c>
      <c r="D101">
        <v>0</v>
      </c>
      <c r="E101" t="s">
        <v>41</v>
      </c>
    </row>
    <row r="102" spans="1:7" hidden="1" x14ac:dyDescent="0.25">
      <c r="A102" t="s">
        <v>56</v>
      </c>
      <c r="B102" t="s">
        <v>47</v>
      </c>
      <c r="C102" t="s">
        <v>18</v>
      </c>
      <c r="F102" t="s">
        <v>43</v>
      </c>
    </row>
    <row r="103" spans="1:7" hidden="1" x14ac:dyDescent="0.25">
      <c r="A103" t="s">
        <v>56</v>
      </c>
      <c r="B103" t="s">
        <v>47</v>
      </c>
      <c r="C103" t="s">
        <v>20</v>
      </c>
      <c r="F103" t="s">
        <v>43</v>
      </c>
    </row>
    <row r="104" spans="1:7" hidden="1" x14ac:dyDescent="0.25">
      <c r="A104" t="s">
        <v>56</v>
      </c>
      <c r="B104" t="s">
        <v>47</v>
      </c>
      <c r="C104" t="s">
        <v>11</v>
      </c>
      <c r="F104" t="s">
        <v>43</v>
      </c>
    </row>
    <row r="105" spans="1:7" hidden="1" x14ac:dyDescent="0.25">
      <c r="A105" t="s">
        <v>56</v>
      </c>
      <c r="B105" t="s">
        <v>47</v>
      </c>
      <c r="C105" t="s">
        <v>24</v>
      </c>
      <c r="F105" t="s">
        <v>43</v>
      </c>
    </row>
    <row r="106" spans="1:7" hidden="1" x14ac:dyDescent="0.25">
      <c r="A106" t="s">
        <v>59</v>
      </c>
      <c r="B106" t="s">
        <v>26</v>
      </c>
      <c r="C106" t="s">
        <v>9</v>
      </c>
      <c r="D106">
        <v>350000</v>
      </c>
      <c r="E106" t="s">
        <v>35</v>
      </c>
      <c r="G106" s="1" t="s">
        <v>60</v>
      </c>
    </row>
    <row r="107" spans="1:7" hidden="1" x14ac:dyDescent="0.25">
      <c r="A107" t="s">
        <v>59</v>
      </c>
      <c r="B107" t="s">
        <v>26</v>
      </c>
      <c r="C107" t="s">
        <v>29</v>
      </c>
      <c r="D107">
        <f>CONVERT(13000,"ft^2","m^2")</f>
        <v>1207.7395200000001</v>
      </c>
      <c r="E107" t="s">
        <v>37</v>
      </c>
      <c r="G107" s="1" t="s">
        <v>28</v>
      </c>
    </row>
    <row r="108" spans="1:7" hidden="1" x14ac:dyDescent="0.25">
      <c r="A108" t="s">
        <v>59</v>
      </c>
      <c r="B108" t="s">
        <v>38</v>
      </c>
      <c r="C108" t="s">
        <v>9</v>
      </c>
      <c r="D108">
        <f>D114/51</f>
        <v>514705.8823529412</v>
      </c>
      <c r="E108" t="s">
        <v>51</v>
      </c>
      <c r="F108" t="s">
        <v>112</v>
      </c>
      <c r="G108" s="1" t="s">
        <v>107</v>
      </c>
    </row>
    <row r="109" spans="1:7" hidden="1" x14ac:dyDescent="0.25">
      <c r="A109" t="s">
        <v>59</v>
      </c>
      <c r="B109" t="s">
        <v>38</v>
      </c>
      <c r="C109" t="s">
        <v>40</v>
      </c>
      <c r="D109">
        <v>32.299999999999997</v>
      </c>
      <c r="E109" t="s">
        <v>41</v>
      </c>
      <c r="F109" t="s">
        <v>108</v>
      </c>
      <c r="G109" s="1" t="s">
        <v>84</v>
      </c>
    </row>
    <row r="110" spans="1:7" hidden="1" x14ac:dyDescent="0.25">
      <c r="A110" t="s">
        <v>59</v>
      </c>
      <c r="B110" t="s">
        <v>38</v>
      </c>
      <c r="C110" t="s">
        <v>18</v>
      </c>
      <c r="D110">
        <v>0</v>
      </c>
    </row>
    <row r="111" spans="1:7" hidden="1" x14ac:dyDescent="0.25">
      <c r="A111" t="s">
        <v>59</v>
      </c>
      <c r="B111" t="s">
        <v>38</v>
      </c>
      <c r="C111" t="s">
        <v>20</v>
      </c>
      <c r="D111">
        <v>0</v>
      </c>
    </row>
    <row r="112" spans="1:7" hidden="1" x14ac:dyDescent="0.25">
      <c r="A112" t="s">
        <v>59</v>
      </c>
      <c r="B112" t="s">
        <v>38</v>
      </c>
      <c r="C112" t="s">
        <v>11</v>
      </c>
      <c r="F112" t="s">
        <v>43</v>
      </c>
    </row>
    <row r="113" spans="1:7" hidden="1" x14ac:dyDescent="0.25">
      <c r="A113" t="s">
        <v>59</v>
      </c>
      <c r="B113" t="s">
        <v>38</v>
      </c>
      <c r="C113" t="s">
        <v>24</v>
      </c>
      <c r="F113" t="s">
        <v>43</v>
      </c>
    </row>
    <row r="114" spans="1:7" hidden="1" x14ac:dyDescent="0.25">
      <c r="A114" t="s">
        <v>59</v>
      </c>
      <c r="B114" t="s">
        <v>44</v>
      </c>
      <c r="C114" t="s">
        <v>9</v>
      </c>
      <c r="D114">
        <f>75*D106</f>
        <v>26250000</v>
      </c>
      <c r="E114" t="s">
        <v>51</v>
      </c>
      <c r="G114" s="1" t="s">
        <v>61</v>
      </c>
    </row>
    <row r="115" spans="1:7" hidden="1" x14ac:dyDescent="0.25">
      <c r="A115" t="s">
        <v>59</v>
      </c>
      <c r="B115" t="s">
        <v>44</v>
      </c>
      <c r="C115" t="s">
        <v>40</v>
      </c>
      <c r="D115">
        <f>75/60</f>
        <v>1.25</v>
      </c>
      <c r="E115" t="s">
        <v>41</v>
      </c>
      <c r="F115" t="s">
        <v>121</v>
      </c>
      <c r="G115" s="2" t="s">
        <v>120</v>
      </c>
    </row>
    <row r="116" spans="1:7" hidden="1" x14ac:dyDescent="0.25">
      <c r="A116" t="s">
        <v>59</v>
      </c>
      <c r="B116" t="s">
        <v>44</v>
      </c>
      <c r="C116" t="s">
        <v>18</v>
      </c>
      <c r="F116" t="s">
        <v>43</v>
      </c>
    </row>
    <row r="117" spans="1:7" hidden="1" x14ac:dyDescent="0.25">
      <c r="A117" t="s">
        <v>59</v>
      </c>
      <c r="B117" t="s">
        <v>44</v>
      </c>
      <c r="C117" t="s">
        <v>20</v>
      </c>
      <c r="F117" t="s">
        <v>43</v>
      </c>
    </row>
    <row r="118" spans="1:7" hidden="1" x14ac:dyDescent="0.25">
      <c r="A118" t="s">
        <v>59</v>
      </c>
      <c r="B118" t="s">
        <v>44</v>
      </c>
      <c r="C118" t="s">
        <v>11</v>
      </c>
      <c r="F118" t="s">
        <v>43</v>
      </c>
    </row>
    <row r="119" spans="1:7" hidden="1" x14ac:dyDescent="0.25">
      <c r="A119" t="s">
        <v>59</v>
      </c>
      <c r="B119" t="s">
        <v>44</v>
      </c>
      <c r="C119" t="s">
        <v>24</v>
      </c>
      <c r="F119" t="s">
        <v>43</v>
      </c>
    </row>
    <row r="120" spans="1:7" hidden="1" x14ac:dyDescent="0.25">
      <c r="A120" t="s">
        <v>59</v>
      </c>
      <c r="B120" t="s">
        <v>46</v>
      </c>
      <c r="C120" t="s">
        <v>9</v>
      </c>
      <c r="D120">
        <v>0</v>
      </c>
      <c r="E120" t="s">
        <v>51</v>
      </c>
    </row>
    <row r="121" spans="1:7" hidden="1" x14ac:dyDescent="0.25">
      <c r="A121" t="s">
        <v>59</v>
      </c>
      <c r="B121" t="s">
        <v>46</v>
      </c>
      <c r="C121" t="s">
        <v>40</v>
      </c>
      <c r="D121">
        <v>0</v>
      </c>
      <c r="E121" t="s">
        <v>41</v>
      </c>
    </row>
    <row r="122" spans="1:7" hidden="1" x14ac:dyDescent="0.25">
      <c r="A122" t="s">
        <v>59</v>
      </c>
      <c r="B122" t="s">
        <v>46</v>
      </c>
      <c r="C122" t="s">
        <v>18</v>
      </c>
      <c r="F122" t="s">
        <v>43</v>
      </c>
    </row>
    <row r="123" spans="1:7" hidden="1" x14ac:dyDescent="0.25">
      <c r="A123" t="s">
        <v>59</v>
      </c>
      <c r="B123" t="s">
        <v>46</v>
      </c>
      <c r="C123" t="s">
        <v>20</v>
      </c>
      <c r="F123" t="s">
        <v>43</v>
      </c>
    </row>
    <row r="124" spans="1:7" hidden="1" x14ac:dyDescent="0.25">
      <c r="A124" t="s">
        <v>59</v>
      </c>
      <c r="B124" t="s">
        <v>46</v>
      </c>
      <c r="C124" t="s">
        <v>11</v>
      </c>
      <c r="F124" t="s">
        <v>43</v>
      </c>
    </row>
    <row r="125" spans="1:7" hidden="1" x14ac:dyDescent="0.25">
      <c r="A125" t="s">
        <v>59</v>
      </c>
      <c r="B125" t="s">
        <v>46</v>
      </c>
      <c r="C125" t="s">
        <v>24</v>
      </c>
      <c r="F125" t="s">
        <v>43</v>
      </c>
    </row>
    <row r="126" spans="1:7" hidden="1" x14ac:dyDescent="0.25">
      <c r="A126" t="s">
        <v>59</v>
      </c>
      <c r="B126" t="s">
        <v>47</v>
      </c>
      <c r="C126" t="s">
        <v>9</v>
      </c>
      <c r="D126">
        <v>0</v>
      </c>
      <c r="E126" t="s">
        <v>51</v>
      </c>
    </row>
    <row r="127" spans="1:7" hidden="1" x14ac:dyDescent="0.25">
      <c r="A127" t="s">
        <v>59</v>
      </c>
      <c r="B127" t="s">
        <v>47</v>
      </c>
      <c r="C127" t="s">
        <v>40</v>
      </c>
      <c r="D127">
        <v>0</v>
      </c>
      <c r="E127" t="s">
        <v>41</v>
      </c>
    </row>
    <row r="128" spans="1:7" hidden="1" x14ac:dyDescent="0.25">
      <c r="A128" t="s">
        <v>59</v>
      </c>
      <c r="B128" t="s">
        <v>47</v>
      </c>
      <c r="C128" t="s">
        <v>18</v>
      </c>
      <c r="F128" t="s">
        <v>43</v>
      </c>
    </row>
    <row r="129" spans="1:7" hidden="1" x14ac:dyDescent="0.25">
      <c r="A129" t="s">
        <v>59</v>
      </c>
      <c r="B129" t="s">
        <v>47</v>
      </c>
      <c r="C129" t="s">
        <v>20</v>
      </c>
      <c r="F129" t="s">
        <v>43</v>
      </c>
    </row>
    <row r="130" spans="1:7" hidden="1" x14ac:dyDescent="0.25">
      <c r="A130" t="s">
        <v>59</v>
      </c>
      <c r="B130" t="s">
        <v>47</v>
      </c>
      <c r="C130" t="s">
        <v>11</v>
      </c>
      <c r="F130" t="s">
        <v>43</v>
      </c>
    </row>
    <row r="131" spans="1:7" hidden="1" x14ac:dyDescent="0.25">
      <c r="A131" t="s">
        <v>59</v>
      </c>
      <c r="B131" t="s">
        <v>47</v>
      </c>
      <c r="C131" t="s">
        <v>24</v>
      </c>
      <c r="F131" t="s">
        <v>43</v>
      </c>
    </row>
    <row r="132" spans="1:7" hidden="1" x14ac:dyDescent="0.25">
      <c r="A132" t="s">
        <v>62</v>
      </c>
      <c r="B132" t="s">
        <v>26</v>
      </c>
      <c r="C132" t="s">
        <v>9</v>
      </c>
      <c r="D132">
        <v>144000000</v>
      </c>
      <c r="E132" t="s">
        <v>35</v>
      </c>
      <c r="G132" s="1" t="s">
        <v>63</v>
      </c>
    </row>
    <row r="133" spans="1:7" hidden="1" x14ac:dyDescent="0.25">
      <c r="A133" t="s">
        <v>62</v>
      </c>
      <c r="B133" t="s">
        <v>26</v>
      </c>
      <c r="C133" t="s">
        <v>29</v>
      </c>
      <c r="D133">
        <v>230.4</v>
      </c>
      <c r="E133" t="s">
        <v>37</v>
      </c>
      <c r="G133" s="1" t="s">
        <v>64</v>
      </c>
    </row>
    <row r="134" spans="1:7" hidden="1" x14ac:dyDescent="0.25">
      <c r="A134" t="s">
        <v>62</v>
      </c>
      <c r="B134" t="s">
        <v>38</v>
      </c>
      <c r="C134" t="s">
        <v>9</v>
      </c>
      <c r="D134">
        <v>0</v>
      </c>
      <c r="E134" t="s">
        <v>51</v>
      </c>
    </row>
    <row r="135" spans="1:7" hidden="1" x14ac:dyDescent="0.25">
      <c r="A135" t="s">
        <v>62</v>
      </c>
      <c r="B135" t="s">
        <v>38</v>
      </c>
      <c r="C135" t="s">
        <v>40</v>
      </c>
      <c r="D135">
        <v>0</v>
      </c>
      <c r="E135" t="s">
        <v>41</v>
      </c>
    </row>
    <row r="136" spans="1:7" hidden="1" x14ac:dyDescent="0.25">
      <c r="A136" t="s">
        <v>62</v>
      </c>
      <c r="B136" t="s">
        <v>38</v>
      </c>
      <c r="C136" t="s">
        <v>18</v>
      </c>
      <c r="F136" t="s">
        <v>43</v>
      </c>
    </row>
    <row r="137" spans="1:7" hidden="1" x14ac:dyDescent="0.25">
      <c r="A137" t="s">
        <v>62</v>
      </c>
      <c r="B137" t="s">
        <v>38</v>
      </c>
      <c r="C137" t="s">
        <v>20</v>
      </c>
      <c r="F137" t="s">
        <v>43</v>
      </c>
    </row>
    <row r="138" spans="1:7" hidden="1" x14ac:dyDescent="0.25">
      <c r="A138" t="s">
        <v>62</v>
      </c>
      <c r="B138" t="s">
        <v>38</v>
      </c>
      <c r="C138" t="s">
        <v>11</v>
      </c>
      <c r="F138" t="s">
        <v>43</v>
      </c>
    </row>
    <row r="139" spans="1:7" hidden="1" x14ac:dyDescent="0.25">
      <c r="A139" t="s">
        <v>62</v>
      </c>
      <c r="B139" t="s">
        <v>38</v>
      </c>
      <c r="C139" t="s">
        <v>24</v>
      </c>
      <c r="F139" t="s">
        <v>43</v>
      </c>
    </row>
    <row r="140" spans="1:7" hidden="1" x14ac:dyDescent="0.25">
      <c r="A140" t="s">
        <v>62</v>
      </c>
      <c r="B140" t="s">
        <v>44</v>
      </c>
      <c r="C140" t="s">
        <v>9</v>
      </c>
      <c r="D140">
        <v>0</v>
      </c>
      <c r="E140" t="s">
        <v>51</v>
      </c>
    </row>
    <row r="141" spans="1:7" hidden="1" x14ac:dyDescent="0.25">
      <c r="A141" t="s">
        <v>62</v>
      </c>
      <c r="B141" t="s">
        <v>44</v>
      </c>
      <c r="C141" t="s">
        <v>40</v>
      </c>
      <c r="D141">
        <v>0</v>
      </c>
      <c r="E141" t="s">
        <v>41</v>
      </c>
    </row>
    <row r="142" spans="1:7" hidden="1" x14ac:dyDescent="0.25">
      <c r="A142" t="s">
        <v>62</v>
      </c>
      <c r="B142" t="s">
        <v>44</v>
      </c>
      <c r="C142" t="s">
        <v>18</v>
      </c>
      <c r="F142" t="s">
        <v>43</v>
      </c>
    </row>
    <row r="143" spans="1:7" hidden="1" x14ac:dyDescent="0.25">
      <c r="A143" t="s">
        <v>62</v>
      </c>
      <c r="B143" t="s">
        <v>44</v>
      </c>
      <c r="C143" t="s">
        <v>20</v>
      </c>
      <c r="F143" t="s">
        <v>43</v>
      </c>
    </row>
    <row r="144" spans="1:7" hidden="1" x14ac:dyDescent="0.25">
      <c r="A144" t="s">
        <v>62</v>
      </c>
      <c r="B144" t="s">
        <v>44</v>
      </c>
      <c r="C144" t="s">
        <v>11</v>
      </c>
      <c r="F144" t="s">
        <v>43</v>
      </c>
    </row>
    <row r="145" spans="1:7" hidden="1" x14ac:dyDescent="0.25">
      <c r="A145" t="s">
        <v>62</v>
      </c>
      <c r="B145" t="s">
        <v>44</v>
      </c>
      <c r="C145" t="s">
        <v>24</v>
      </c>
      <c r="F145" t="s">
        <v>43</v>
      </c>
    </row>
    <row r="146" spans="1:7" hidden="1" x14ac:dyDescent="0.25">
      <c r="A146" t="s">
        <v>62</v>
      </c>
      <c r="B146" t="s">
        <v>46</v>
      </c>
      <c r="C146" t="s">
        <v>9</v>
      </c>
      <c r="D146" s="4">
        <f>D2</f>
        <v>335893238</v>
      </c>
      <c r="E146" t="s">
        <v>51</v>
      </c>
      <c r="F146" t="s">
        <v>43</v>
      </c>
    </row>
    <row r="147" spans="1:7" hidden="1" x14ac:dyDescent="0.25">
      <c r="A147" t="s">
        <v>62</v>
      </c>
      <c r="B147" t="s">
        <v>46</v>
      </c>
      <c r="C147" t="s">
        <v>40</v>
      </c>
      <c r="D147">
        <f>0.5*7*24</f>
        <v>84</v>
      </c>
      <c r="E147" t="s">
        <v>41</v>
      </c>
      <c r="G147" s="1" t="s">
        <v>65</v>
      </c>
    </row>
    <row r="148" spans="1:7" hidden="1" x14ac:dyDescent="0.25">
      <c r="A148" t="s">
        <v>62</v>
      </c>
      <c r="B148" t="s">
        <v>46</v>
      </c>
      <c r="C148" t="s">
        <v>18</v>
      </c>
      <c r="F148" t="s">
        <v>43</v>
      </c>
    </row>
    <row r="149" spans="1:7" hidden="1" x14ac:dyDescent="0.25">
      <c r="A149" t="s">
        <v>62</v>
      </c>
      <c r="B149" t="s">
        <v>46</v>
      </c>
      <c r="C149" t="s">
        <v>20</v>
      </c>
      <c r="F149" t="s">
        <v>43</v>
      </c>
    </row>
    <row r="150" spans="1:7" hidden="1" x14ac:dyDescent="0.25">
      <c r="A150" t="s">
        <v>62</v>
      </c>
      <c r="B150" t="s">
        <v>46</v>
      </c>
      <c r="C150" t="s">
        <v>11</v>
      </c>
      <c r="F150" t="s">
        <v>43</v>
      </c>
    </row>
    <row r="151" spans="1:7" hidden="1" x14ac:dyDescent="0.25">
      <c r="A151" t="s">
        <v>62</v>
      </c>
      <c r="B151" t="s">
        <v>46</v>
      </c>
      <c r="C151" t="s">
        <v>24</v>
      </c>
      <c r="F151" t="s">
        <v>43</v>
      </c>
    </row>
    <row r="152" spans="1:7" hidden="1" x14ac:dyDescent="0.25">
      <c r="A152" t="s">
        <v>62</v>
      </c>
      <c r="B152" t="s">
        <v>47</v>
      </c>
      <c r="C152" t="s">
        <v>9</v>
      </c>
      <c r="D152">
        <v>0</v>
      </c>
      <c r="E152" t="s">
        <v>51</v>
      </c>
    </row>
    <row r="153" spans="1:7" hidden="1" x14ac:dyDescent="0.25">
      <c r="A153" t="s">
        <v>62</v>
      </c>
      <c r="B153" t="s">
        <v>47</v>
      </c>
      <c r="C153" t="s">
        <v>40</v>
      </c>
      <c r="D153">
        <v>0</v>
      </c>
      <c r="E153" t="s">
        <v>41</v>
      </c>
    </row>
    <row r="154" spans="1:7" hidden="1" x14ac:dyDescent="0.25">
      <c r="A154" t="s">
        <v>62</v>
      </c>
      <c r="B154" t="s">
        <v>47</v>
      </c>
      <c r="C154" t="s">
        <v>18</v>
      </c>
      <c r="F154" t="s">
        <v>43</v>
      </c>
    </row>
    <row r="155" spans="1:7" hidden="1" x14ac:dyDescent="0.25">
      <c r="A155" t="s">
        <v>62</v>
      </c>
      <c r="B155" t="s">
        <v>47</v>
      </c>
      <c r="C155" t="s">
        <v>20</v>
      </c>
      <c r="F155" t="s">
        <v>43</v>
      </c>
    </row>
    <row r="156" spans="1:7" hidden="1" x14ac:dyDescent="0.25">
      <c r="A156" t="s">
        <v>62</v>
      </c>
      <c r="B156" t="s">
        <v>47</v>
      </c>
      <c r="C156" t="s">
        <v>11</v>
      </c>
      <c r="F156" t="s">
        <v>43</v>
      </c>
    </row>
    <row r="157" spans="1:7" hidden="1" x14ac:dyDescent="0.25">
      <c r="A157" t="s">
        <v>62</v>
      </c>
      <c r="B157" t="s">
        <v>47</v>
      </c>
      <c r="C157" t="s">
        <v>24</v>
      </c>
      <c r="F157" t="s">
        <v>43</v>
      </c>
    </row>
    <row r="158" spans="1:7" hidden="1" x14ac:dyDescent="0.25">
      <c r="A158" t="s">
        <v>66</v>
      </c>
      <c r="B158" t="s">
        <v>26</v>
      </c>
      <c r="C158" t="s">
        <v>9</v>
      </c>
      <c r="D158">
        <v>2012050</v>
      </c>
      <c r="E158" t="s">
        <v>35</v>
      </c>
      <c r="G158" s="1" t="s">
        <v>67</v>
      </c>
    </row>
    <row r="159" spans="1:7" hidden="1" x14ac:dyDescent="0.25">
      <c r="A159" t="s">
        <v>66</v>
      </c>
      <c r="B159" t="s">
        <v>26</v>
      </c>
      <c r="C159" t="s">
        <v>29</v>
      </c>
      <c r="D159">
        <v>1800727.5</v>
      </c>
      <c r="E159" t="s">
        <v>37</v>
      </c>
      <c r="G159" s="1" t="s">
        <v>67</v>
      </c>
    </row>
    <row r="160" spans="1:7" hidden="1" x14ac:dyDescent="0.25">
      <c r="A160" t="s">
        <v>66</v>
      </c>
      <c r="B160" t="s">
        <v>38</v>
      </c>
      <c r="C160" t="s">
        <v>9</v>
      </c>
      <c r="D160">
        <v>1461800</v>
      </c>
      <c r="E160" t="s">
        <v>51</v>
      </c>
      <c r="G160" s="1" t="s">
        <v>39</v>
      </c>
    </row>
    <row r="161" spans="1:6" hidden="1" x14ac:dyDescent="0.25">
      <c r="A161" t="s">
        <v>66</v>
      </c>
      <c r="B161" t="s">
        <v>38</v>
      </c>
      <c r="C161" t="s">
        <v>40</v>
      </c>
      <c r="D161">
        <f>D12</f>
        <v>34</v>
      </c>
      <c r="E161" t="s">
        <v>41</v>
      </c>
      <c r="F161" t="s">
        <v>43</v>
      </c>
    </row>
    <row r="162" spans="1:6" hidden="1" x14ac:dyDescent="0.25">
      <c r="A162" t="s">
        <v>66</v>
      </c>
      <c r="B162" t="s">
        <v>38</v>
      </c>
      <c r="C162" t="s">
        <v>18</v>
      </c>
      <c r="D162">
        <v>0</v>
      </c>
    </row>
    <row r="163" spans="1:6" hidden="1" x14ac:dyDescent="0.25">
      <c r="A163" t="s">
        <v>66</v>
      </c>
      <c r="B163" t="s">
        <v>38</v>
      </c>
      <c r="C163" t="s">
        <v>20</v>
      </c>
      <c r="D163">
        <v>0</v>
      </c>
    </row>
    <row r="164" spans="1:6" hidden="1" x14ac:dyDescent="0.25">
      <c r="A164" t="s">
        <v>66</v>
      </c>
      <c r="B164" t="s">
        <v>38</v>
      </c>
      <c r="C164" t="s">
        <v>11</v>
      </c>
      <c r="F164" t="s">
        <v>43</v>
      </c>
    </row>
    <row r="165" spans="1:6" hidden="1" x14ac:dyDescent="0.25">
      <c r="A165" t="s">
        <v>66</v>
      </c>
      <c r="B165" t="s">
        <v>38</v>
      </c>
      <c r="C165" t="s">
        <v>24</v>
      </c>
      <c r="F165" t="s">
        <v>43</v>
      </c>
    </row>
    <row r="166" spans="1:6" hidden="1" x14ac:dyDescent="0.25">
      <c r="A166" t="s">
        <v>66</v>
      </c>
      <c r="B166" t="s">
        <v>44</v>
      </c>
      <c r="C166" t="s">
        <v>9</v>
      </c>
      <c r="D166">
        <v>0</v>
      </c>
      <c r="E166" t="s">
        <v>51</v>
      </c>
    </row>
    <row r="167" spans="1:6" hidden="1" x14ac:dyDescent="0.25">
      <c r="A167" t="s">
        <v>66</v>
      </c>
      <c r="B167" t="s">
        <v>44</v>
      </c>
      <c r="C167" t="s">
        <v>40</v>
      </c>
      <c r="D167">
        <v>0</v>
      </c>
      <c r="E167" t="s">
        <v>41</v>
      </c>
    </row>
    <row r="168" spans="1:6" hidden="1" x14ac:dyDescent="0.25">
      <c r="A168" t="s">
        <v>66</v>
      </c>
      <c r="B168" t="s">
        <v>44</v>
      </c>
      <c r="C168" t="s">
        <v>18</v>
      </c>
      <c r="F168" t="s">
        <v>43</v>
      </c>
    </row>
    <row r="169" spans="1:6" hidden="1" x14ac:dyDescent="0.25">
      <c r="A169" t="s">
        <v>66</v>
      </c>
      <c r="B169" t="s">
        <v>44</v>
      </c>
      <c r="C169" t="s">
        <v>20</v>
      </c>
      <c r="F169" t="s">
        <v>43</v>
      </c>
    </row>
    <row r="170" spans="1:6" hidden="1" x14ac:dyDescent="0.25">
      <c r="A170" t="s">
        <v>66</v>
      </c>
      <c r="B170" t="s">
        <v>44</v>
      </c>
      <c r="C170" t="s">
        <v>11</v>
      </c>
      <c r="F170" t="s">
        <v>43</v>
      </c>
    </row>
    <row r="171" spans="1:6" hidden="1" x14ac:dyDescent="0.25">
      <c r="A171" t="s">
        <v>66</v>
      </c>
      <c r="B171" t="s">
        <v>44</v>
      </c>
      <c r="C171" t="s">
        <v>24</v>
      </c>
      <c r="F171" t="s">
        <v>43</v>
      </c>
    </row>
    <row r="172" spans="1:6" hidden="1" x14ac:dyDescent="0.25">
      <c r="A172" t="s">
        <v>66</v>
      </c>
      <c r="B172" t="s">
        <v>46</v>
      </c>
      <c r="C172" t="s">
        <v>9</v>
      </c>
      <c r="D172">
        <v>0</v>
      </c>
      <c r="E172" t="s">
        <v>51</v>
      </c>
    </row>
    <row r="173" spans="1:6" hidden="1" x14ac:dyDescent="0.25">
      <c r="A173" t="s">
        <v>66</v>
      </c>
      <c r="B173" t="s">
        <v>46</v>
      </c>
      <c r="C173" t="s">
        <v>40</v>
      </c>
      <c r="D173">
        <v>0</v>
      </c>
      <c r="E173" t="s">
        <v>41</v>
      </c>
    </row>
    <row r="174" spans="1:6" hidden="1" x14ac:dyDescent="0.25">
      <c r="A174" t="s">
        <v>66</v>
      </c>
      <c r="B174" t="s">
        <v>46</v>
      </c>
      <c r="C174" t="s">
        <v>18</v>
      </c>
      <c r="F174" t="s">
        <v>43</v>
      </c>
    </row>
    <row r="175" spans="1:6" hidden="1" x14ac:dyDescent="0.25">
      <c r="A175" t="s">
        <v>66</v>
      </c>
      <c r="B175" t="s">
        <v>46</v>
      </c>
      <c r="C175" t="s">
        <v>20</v>
      </c>
      <c r="F175" t="s">
        <v>43</v>
      </c>
    </row>
    <row r="176" spans="1:6" hidden="1" x14ac:dyDescent="0.25">
      <c r="A176" t="s">
        <v>66</v>
      </c>
      <c r="B176" t="s">
        <v>46</v>
      </c>
      <c r="C176" t="s">
        <v>11</v>
      </c>
      <c r="F176" t="s">
        <v>43</v>
      </c>
    </row>
    <row r="177" spans="1:7" hidden="1" x14ac:dyDescent="0.25">
      <c r="A177" t="s">
        <v>66</v>
      </c>
      <c r="B177" t="s">
        <v>46</v>
      </c>
      <c r="C177" t="s">
        <v>24</v>
      </c>
      <c r="F177" t="s">
        <v>43</v>
      </c>
    </row>
    <row r="178" spans="1:7" hidden="1" x14ac:dyDescent="0.25">
      <c r="A178" t="s">
        <v>66</v>
      </c>
      <c r="B178" t="s">
        <v>47</v>
      </c>
      <c r="C178" t="s">
        <v>9</v>
      </c>
      <c r="D178">
        <v>0</v>
      </c>
      <c r="E178" t="s">
        <v>51</v>
      </c>
    </row>
    <row r="179" spans="1:7" hidden="1" x14ac:dyDescent="0.25">
      <c r="A179" t="s">
        <v>66</v>
      </c>
      <c r="B179" t="s">
        <v>47</v>
      </c>
      <c r="C179" t="s">
        <v>40</v>
      </c>
      <c r="D179">
        <v>0</v>
      </c>
      <c r="E179" t="s">
        <v>41</v>
      </c>
    </row>
    <row r="180" spans="1:7" hidden="1" x14ac:dyDescent="0.25">
      <c r="A180" t="s">
        <v>66</v>
      </c>
      <c r="B180" t="s">
        <v>47</v>
      </c>
      <c r="C180" t="s">
        <v>18</v>
      </c>
      <c r="F180" t="s">
        <v>43</v>
      </c>
    </row>
    <row r="181" spans="1:7" hidden="1" x14ac:dyDescent="0.25">
      <c r="A181" t="s">
        <v>66</v>
      </c>
      <c r="B181" t="s">
        <v>47</v>
      </c>
      <c r="C181" t="s">
        <v>20</v>
      </c>
      <c r="F181" t="s">
        <v>43</v>
      </c>
    </row>
    <row r="182" spans="1:7" hidden="1" x14ac:dyDescent="0.25">
      <c r="A182" t="s">
        <v>66</v>
      </c>
      <c r="B182" t="s">
        <v>47</v>
      </c>
      <c r="C182" t="s">
        <v>11</v>
      </c>
      <c r="F182" t="s">
        <v>43</v>
      </c>
    </row>
    <row r="183" spans="1:7" hidden="1" x14ac:dyDescent="0.25">
      <c r="A183" t="s">
        <v>66</v>
      </c>
      <c r="B183" t="s">
        <v>47</v>
      </c>
      <c r="C183" t="s">
        <v>24</v>
      </c>
      <c r="F183" t="s">
        <v>43</v>
      </c>
    </row>
    <row r="184" spans="1:7" hidden="1" x14ac:dyDescent="0.25">
      <c r="A184" t="s">
        <v>68</v>
      </c>
      <c r="B184" t="s">
        <v>26</v>
      </c>
      <c r="C184" t="s">
        <v>9</v>
      </c>
      <c r="D184">
        <f>SUM(12563,3962222,292825)</f>
        <v>4267610</v>
      </c>
      <c r="E184" t="s">
        <v>35</v>
      </c>
      <c r="G184" s="1" t="s">
        <v>69</v>
      </c>
    </row>
    <row r="185" spans="1:7" hidden="1" x14ac:dyDescent="0.25">
      <c r="G185" s="1" t="s">
        <v>70</v>
      </c>
    </row>
    <row r="186" spans="1:7" hidden="1" x14ac:dyDescent="0.25">
      <c r="G186" s="1" t="s">
        <v>71</v>
      </c>
    </row>
    <row r="187" spans="1:7" hidden="1" x14ac:dyDescent="0.25">
      <c r="A187" t="s">
        <v>68</v>
      </c>
      <c r="B187" t="s">
        <v>26</v>
      </c>
      <c r="C187" t="s">
        <v>29</v>
      </c>
      <c r="D187">
        <f>CONVERT(17000,"ft^2","m^2")</f>
        <v>1579.35168</v>
      </c>
      <c r="E187" t="s">
        <v>37</v>
      </c>
      <c r="G187" s="2" t="s">
        <v>28</v>
      </c>
    </row>
    <row r="188" spans="1:7" hidden="1" x14ac:dyDescent="0.25">
      <c r="A188" t="s">
        <v>68</v>
      </c>
      <c r="B188" t="s">
        <v>38</v>
      </c>
      <c r="C188" t="s">
        <v>9</v>
      </c>
      <c r="D188">
        <f>SUM(595300,8017900,12939500,6565300,575500)</f>
        <v>28693500</v>
      </c>
      <c r="E188" t="s">
        <v>51</v>
      </c>
      <c r="G188" s="1" t="s">
        <v>39</v>
      </c>
    </row>
    <row r="189" spans="1:7" hidden="1" x14ac:dyDescent="0.25">
      <c r="A189" t="s">
        <v>68</v>
      </c>
      <c r="B189" t="s">
        <v>38</v>
      </c>
      <c r="C189" t="s">
        <v>40</v>
      </c>
      <c r="D189">
        <f>AVERAGE(44.2,40)</f>
        <v>42.1</v>
      </c>
      <c r="E189" t="s">
        <v>41</v>
      </c>
      <c r="F189" s="7" t="s">
        <v>86</v>
      </c>
      <c r="G189" s="1" t="s">
        <v>84</v>
      </c>
    </row>
    <row r="190" spans="1:7" hidden="1" x14ac:dyDescent="0.25">
      <c r="A190" t="s">
        <v>68</v>
      </c>
      <c r="B190" t="s">
        <v>38</v>
      </c>
      <c r="C190" t="s">
        <v>18</v>
      </c>
      <c r="D190">
        <v>0</v>
      </c>
    </row>
    <row r="191" spans="1:7" hidden="1" x14ac:dyDescent="0.25">
      <c r="A191" t="s">
        <v>68</v>
      </c>
      <c r="B191" t="s">
        <v>38</v>
      </c>
      <c r="C191" t="s">
        <v>20</v>
      </c>
      <c r="D191">
        <v>0</v>
      </c>
    </row>
    <row r="192" spans="1:7" hidden="1" x14ac:dyDescent="0.25">
      <c r="A192" t="s">
        <v>68</v>
      </c>
      <c r="B192" t="s">
        <v>38</v>
      </c>
      <c r="C192" t="s">
        <v>11</v>
      </c>
      <c r="F192" t="s">
        <v>43</v>
      </c>
    </row>
    <row r="193" spans="1:6" hidden="1" x14ac:dyDescent="0.25">
      <c r="A193" t="s">
        <v>68</v>
      </c>
      <c r="B193" t="s">
        <v>38</v>
      </c>
      <c r="C193" t="s">
        <v>24</v>
      </c>
      <c r="F193" t="s">
        <v>43</v>
      </c>
    </row>
    <row r="194" spans="1:6" hidden="1" x14ac:dyDescent="0.25">
      <c r="A194" t="s">
        <v>68</v>
      </c>
      <c r="B194" t="s">
        <v>44</v>
      </c>
      <c r="C194" t="s">
        <v>9</v>
      </c>
      <c r="D194">
        <v>0</v>
      </c>
      <c r="E194" t="s">
        <v>51</v>
      </c>
    </row>
    <row r="195" spans="1:6" hidden="1" x14ac:dyDescent="0.25">
      <c r="A195" t="s">
        <v>68</v>
      </c>
      <c r="B195" t="s">
        <v>44</v>
      </c>
      <c r="C195" t="s">
        <v>40</v>
      </c>
      <c r="D195">
        <v>0</v>
      </c>
      <c r="E195" t="s">
        <v>41</v>
      </c>
    </row>
    <row r="196" spans="1:6" hidden="1" x14ac:dyDescent="0.25">
      <c r="A196" t="s">
        <v>68</v>
      </c>
      <c r="B196" t="s">
        <v>44</v>
      </c>
      <c r="C196" t="s">
        <v>18</v>
      </c>
      <c r="F196" t="s">
        <v>43</v>
      </c>
    </row>
    <row r="197" spans="1:6" hidden="1" x14ac:dyDescent="0.25">
      <c r="A197" t="s">
        <v>68</v>
      </c>
      <c r="B197" t="s">
        <v>44</v>
      </c>
      <c r="C197" t="s">
        <v>20</v>
      </c>
      <c r="F197" t="s">
        <v>43</v>
      </c>
    </row>
    <row r="198" spans="1:6" hidden="1" x14ac:dyDescent="0.25">
      <c r="A198" t="s">
        <v>68</v>
      </c>
      <c r="B198" t="s">
        <v>44</v>
      </c>
      <c r="C198" t="s">
        <v>11</v>
      </c>
      <c r="F198" t="s">
        <v>43</v>
      </c>
    </row>
    <row r="199" spans="1:6" hidden="1" x14ac:dyDescent="0.25">
      <c r="A199" t="s">
        <v>68</v>
      </c>
      <c r="B199" t="s">
        <v>44</v>
      </c>
      <c r="C199" t="s">
        <v>24</v>
      </c>
      <c r="F199" t="s">
        <v>43</v>
      </c>
    </row>
    <row r="200" spans="1:6" hidden="1" x14ac:dyDescent="0.25">
      <c r="A200" t="s">
        <v>68</v>
      </c>
      <c r="B200" t="s">
        <v>46</v>
      </c>
      <c r="C200" t="s">
        <v>9</v>
      </c>
      <c r="D200">
        <v>0</v>
      </c>
      <c r="E200" t="s">
        <v>51</v>
      </c>
    </row>
    <row r="201" spans="1:6" hidden="1" x14ac:dyDescent="0.25">
      <c r="A201" t="s">
        <v>68</v>
      </c>
      <c r="B201" t="s">
        <v>46</v>
      </c>
      <c r="C201" t="s">
        <v>40</v>
      </c>
      <c r="D201">
        <v>0</v>
      </c>
      <c r="E201" t="s">
        <v>41</v>
      </c>
    </row>
    <row r="202" spans="1:6" hidden="1" x14ac:dyDescent="0.25">
      <c r="A202" t="s">
        <v>68</v>
      </c>
      <c r="B202" t="s">
        <v>46</v>
      </c>
      <c r="C202" t="s">
        <v>18</v>
      </c>
      <c r="F202" t="s">
        <v>43</v>
      </c>
    </row>
    <row r="203" spans="1:6" hidden="1" x14ac:dyDescent="0.25">
      <c r="A203" t="s">
        <v>68</v>
      </c>
      <c r="B203" t="s">
        <v>46</v>
      </c>
      <c r="C203" t="s">
        <v>20</v>
      </c>
      <c r="F203" t="s">
        <v>43</v>
      </c>
    </row>
    <row r="204" spans="1:6" hidden="1" x14ac:dyDescent="0.25">
      <c r="A204" t="s">
        <v>68</v>
      </c>
      <c r="B204" t="s">
        <v>46</v>
      </c>
      <c r="C204" t="s">
        <v>11</v>
      </c>
      <c r="F204" t="s">
        <v>43</v>
      </c>
    </row>
    <row r="205" spans="1:6" hidden="1" x14ac:dyDescent="0.25">
      <c r="A205" t="s">
        <v>68</v>
      </c>
      <c r="B205" t="s">
        <v>46</v>
      </c>
      <c r="C205" t="s">
        <v>24</v>
      </c>
      <c r="F205" t="s">
        <v>43</v>
      </c>
    </row>
    <row r="206" spans="1:6" hidden="1" x14ac:dyDescent="0.25">
      <c r="A206" t="s">
        <v>68</v>
      </c>
      <c r="B206" t="s">
        <v>47</v>
      </c>
      <c r="C206" t="s">
        <v>9</v>
      </c>
      <c r="D206">
        <v>0</v>
      </c>
      <c r="E206" t="s">
        <v>51</v>
      </c>
    </row>
    <row r="207" spans="1:6" hidden="1" x14ac:dyDescent="0.25">
      <c r="A207" t="s">
        <v>68</v>
      </c>
      <c r="B207" t="s">
        <v>47</v>
      </c>
      <c r="C207" t="s">
        <v>40</v>
      </c>
      <c r="D207">
        <v>0</v>
      </c>
      <c r="E207" t="s">
        <v>41</v>
      </c>
    </row>
    <row r="208" spans="1:6" hidden="1" x14ac:dyDescent="0.25">
      <c r="A208" t="s">
        <v>68</v>
      </c>
      <c r="B208" t="s">
        <v>47</v>
      </c>
      <c r="C208" t="s">
        <v>18</v>
      </c>
      <c r="F208" t="s">
        <v>43</v>
      </c>
    </row>
    <row r="209" spans="1:7" hidden="1" x14ac:dyDescent="0.25">
      <c r="A209" t="s">
        <v>68</v>
      </c>
      <c r="B209" t="s">
        <v>47</v>
      </c>
      <c r="C209" t="s">
        <v>20</v>
      </c>
      <c r="F209" t="s">
        <v>43</v>
      </c>
    </row>
    <row r="210" spans="1:7" hidden="1" x14ac:dyDescent="0.25">
      <c r="A210" t="s">
        <v>68</v>
      </c>
      <c r="B210" t="s">
        <v>47</v>
      </c>
      <c r="C210" t="s">
        <v>11</v>
      </c>
      <c r="F210" t="s">
        <v>43</v>
      </c>
    </row>
    <row r="211" spans="1:7" hidden="1" x14ac:dyDescent="0.25">
      <c r="A211" t="s">
        <v>68</v>
      </c>
      <c r="B211" t="s">
        <v>47</v>
      </c>
      <c r="C211" t="s">
        <v>24</v>
      </c>
      <c r="F211" t="s">
        <v>43</v>
      </c>
    </row>
    <row r="212" spans="1:7" x14ac:dyDescent="0.25">
      <c r="A212" t="s">
        <v>72</v>
      </c>
      <c r="B212" t="s">
        <v>26</v>
      </c>
      <c r="C212" t="s">
        <v>9</v>
      </c>
      <c r="D212" s="3">
        <f>SUM(163,286,517,488,81,867)*1000</f>
        <v>2402000</v>
      </c>
      <c r="E212" t="s">
        <v>35</v>
      </c>
      <c r="F212" t="s">
        <v>175</v>
      </c>
      <c r="G212" s="1" t="s">
        <v>174</v>
      </c>
    </row>
    <row r="213" spans="1:7" x14ac:dyDescent="0.25">
      <c r="A213" t="s">
        <v>72</v>
      </c>
      <c r="B213" t="s">
        <v>26</v>
      </c>
      <c r="C213" t="s">
        <v>29</v>
      </c>
      <c r="D213" s="3">
        <f>CONVERT(21000,"ft^2","m^2")</f>
        <v>1950.9638400000001</v>
      </c>
      <c r="E213" t="s">
        <v>37</v>
      </c>
      <c r="F213" t="s">
        <v>81</v>
      </c>
      <c r="G213" s="1" t="s">
        <v>28</v>
      </c>
    </row>
    <row r="214" spans="1:7" x14ac:dyDescent="0.25">
      <c r="A214" t="s">
        <v>72</v>
      </c>
      <c r="B214" t="s">
        <v>38</v>
      </c>
      <c r="C214" t="s">
        <v>9</v>
      </c>
      <c r="D214">
        <v>43635900</v>
      </c>
      <c r="E214" t="s">
        <v>51</v>
      </c>
      <c r="G214" s="1" t="s">
        <v>39</v>
      </c>
    </row>
    <row r="215" spans="1:7" x14ac:dyDescent="0.25">
      <c r="A215" t="s">
        <v>72</v>
      </c>
      <c r="B215" t="s">
        <v>38</v>
      </c>
      <c r="C215" t="s">
        <v>40</v>
      </c>
      <c r="D215">
        <f>AVERAGE(39.2,29.7)</f>
        <v>34.450000000000003</v>
      </c>
      <c r="E215" t="s">
        <v>41</v>
      </c>
      <c r="F215" t="s">
        <v>85</v>
      </c>
      <c r="G215" s="1" t="s">
        <v>84</v>
      </c>
    </row>
    <row r="216" spans="1:7" x14ac:dyDescent="0.25">
      <c r="A216" t="s">
        <v>72</v>
      </c>
      <c r="B216" t="s">
        <v>38</v>
      </c>
      <c r="C216" t="s">
        <v>18</v>
      </c>
      <c r="D216">
        <v>0</v>
      </c>
    </row>
    <row r="217" spans="1:7" x14ac:dyDescent="0.25">
      <c r="A217" t="s">
        <v>72</v>
      </c>
      <c r="B217" t="s">
        <v>38</v>
      </c>
      <c r="C217" t="s">
        <v>20</v>
      </c>
      <c r="D217">
        <v>0</v>
      </c>
    </row>
    <row r="218" spans="1:7" x14ac:dyDescent="0.25">
      <c r="A218" t="s">
        <v>72</v>
      </c>
      <c r="B218" t="s">
        <v>38</v>
      </c>
      <c r="C218" t="s">
        <v>11</v>
      </c>
      <c r="F218" t="s">
        <v>43</v>
      </c>
    </row>
    <row r="219" spans="1:7" x14ac:dyDescent="0.25">
      <c r="A219" t="s">
        <v>72</v>
      </c>
      <c r="B219" t="s">
        <v>38</v>
      </c>
      <c r="C219" t="s">
        <v>24</v>
      </c>
      <c r="F219" t="s">
        <v>43</v>
      </c>
    </row>
    <row r="220" spans="1:7" x14ac:dyDescent="0.25">
      <c r="A220" t="s">
        <v>72</v>
      </c>
      <c r="B220" t="s">
        <v>44</v>
      </c>
      <c r="C220" t="s">
        <v>9</v>
      </c>
      <c r="D220">
        <v>134000000</v>
      </c>
      <c r="E220" t="s">
        <v>51</v>
      </c>
      <c r="G220" s="1" t="s">
        <v>73</v>
      </c>
    </row>
    <row r="221" spans="1:7" x14ac:dyDescent="0.25">
      <c r="A221" t="s">
        <v>72</v>
      </c>
      <c r="B221" t="s">
        <v>44</v>
      </c>
      <c r="C221" t="s">
        <v>40</v>
      </c>
      <c r="D221">
        <f>0.67*7</f>
        <v>4.6900000000000004</v>
      </c>
      <c r="E221" t="s">
        <v>41</v>
      </c>
      <c r="F221" t="s">
        <v>167</v>
      </c>
      <c r="G221" s="1" t="s">
        <v>166</v>
      </c>
    </row>
    <row r="222" spans="1:7" x14ac:dyDescent="0.25">
      <c r="A222" t="s">
        <v>72</v>
      </c>
      <c r="B222" t="s">
        <v>44</v>
      </c>
      <c r="C222" t="s">
        <v>18</v>
      </c>
      <c r="F222" t="s">
        <v>43</v>
      </c>
    </row>
    <row r="223" spans="1:7" x14ac:dyDescent="0.25">
      <c r="A223" t="s">
        <v>72</v>
      </c>
      <c r="B223" t="s">
        <v>44</v>
      </c>
      <c r="C223" t="s">
        <v>20</v>
      </c>
      <c r="F223" t="s">
        <v>43</v>
      </c>
    </row>
    <row r="224" spans="1:7" x14ac:dyDescent="0.25">
      <c r="A224" t="s">
        <v>72</v>
      </c>
      <c r="B224" t="s">
        <v>44</v>
      </c>
      <c r="C224" t="s">
        <v>11</v>
      </c>
      <c r="F224" t="s">
        <v>43</v>
      </c>
    </row>
    <row r="225" spans="1:7" x14ac:dyDescent="0.25">
      <c r="A225" t="s">
        <v>72</v>
      </c>
      <c r="B225" t="s">
        <v>44</v>
      </c>
      <c r="C225" t="s">
        <v>24</v>
      </c>
      <c r="F225" t="s">
        <v>43</v>
      </c>
    </row>
    <row r="226" spans="1:7" x14ac:dyDescent="0.25">
      <c r="A226" t="s">
        <v>72</v>
      </c>
      <c r="B226" t="s">
        <v>46</v>
      </c>
      <c r="C226" t="s">
        <v>9</v>
      </c>
      <c r="D226">
        <v>0</v>
      </c>
      <c r="E226" t="s">
        <v>51</v>
      </c>
    </row>
    <row r="227" spans="1:7" x14ac:dyDescent="0.25">
      <c r="A227" t="s">
        <v>72</v>
      </c>
      <c r="B227" t="s">
        <v>46</v>
      </c>
      <c r="C227" t="s">
        <v>40</v>
      </c>
      <c r="D227">
        <v>0</v>
      </c>
      <c r="E227" t="s">
        <v>41</v>
      </c>
    </row>
    <row r="228" spans="1:7" x14ac:dyDescent="0.25">
      <c r="A228" t="s">
        <v>72</v>
      </c>
      <c r="B228" t="s">
        <v>46</v>
      </c>
      <c r="C228" t="s">
        <v>18</v>
      </c>
      <c r="F228" t="s">
        <v>43</v>
      </c>
    </row>
    <row r="229" spans="1:7" x14ac:dyDescent="0.25">
      <c r="A229" t="s">
        <v>72</v>
      </c>
      <c r="B229" t="s">
        <v>46</v>
      </c>
      <c r="C229" t="s">
        <v>20</v>
      </c>
      <c r="F229" t="s">
        <v>43</v>
      </c>
    </row>
    <row r="230" spans="1:7" x14ac:dyDescent="0.25">
      <c r="A230" t="s">
        <v>72</v>
      </c>
      <c r="B230" t="s">
        <v>46</v>
      </c>
      <c r="C230" t="s">
        <v>11</v>
      </c>
      <c r="F230" t="s">
        <v>43</v>
      </c>
    </row>
    <row r="231" spans="1:7" x14ac:dyDescent="0.25">
      <c r="A231" t="s">
        <v>72</v>
      </c>
      <c r="B231" t="s">
        <v>46</v>
      </c>
      <c r="C231" t="s">
        <v>24</v>
      </c>
      <c r="F231" t="s">
        <v>43</v>
      </c>
    </row>
    <row r="232" spans="1:7" x14ac:dyDescent="0.25">
      <c r="A232" t="s">
        <v>72</v>
      </c>
      <c r="B232" t="s">
        <v>47</v>
      </c>
      <c r="C232" t="s">
        <v>9</v>
      </c>
      <c r="D232">
        <v>0</v>
      </c>
      <c r="E232" t="s">
        <v>51</v>
      </c>
    </row>
    <row r="233" spans="1:7" x14ac:dyDescent="0.25">
      <c r="A233" t="s">
        <v>72</v>
      </c>
      <c r="B233" t="s">
        <v>47</v>
      </c>
      <c r="C233" t="s">
        <v>40</v>
      </c>
      <c r="D233">
        <v>0</v>
      </c>
      <c r="E233" t="s">
        <v>41</v>
      </c>
    </row>
    <row r="234" spans="1:7" x14ac:dyDescent="0.25">
      <c r="A234" t="s">
        <v>72</v>
      </c>
      <c r="B234" t="s">
        <v>47</v>
      </c>
      <c r="C234" t="s">
        <v>18</v>
      </c>
      <c r="F234" t="s">
        <v>43</v>
      </c>
    </row>
    <row r="235" spans="1:7" x14ac:dyDescent="0.25">
      <c r="A235" t="s">
        <v>72</v>
      </c>
      <c r="B235" t="s">
        <v>47</v>
      </c>
      <c r="C235" t="s">
        <v>20</v>
      </c>
      <c r="F235" t="s">
        <v>43</v>
      </c>
    </row>
    <row r="236" spans="1:7" x14ac:dyDescent="0.25">
      <c r="A236" t="s">
        <v>72</v>
      </c>
      <c r="B236" t="s">
        <v>47</v>
      </c>
      <c r="C236" t="s">
        <v>11</v>
      </c>
      <c r="F236" t="s">
        <v>43</v>
      </c>
    </row>
    <row r="237" spans="1:7" x14ac:dyDescent="0.25">
      <c r="A237" t="s">
        <v>72</v>
      </c>
      <c r="B237" t="s">
        <v>47</v>
      </c>
      <c r="C237" t="s">
        <v>24</v>
      </c>
      <c r="F237" t="s">
        <v>43</v>
      </c>
    </row>
    <row r="238" spans="1:7" hidden="1" x14ac:dyDescent="0.25">
      <c r="A238" t="s">
        <v>74</v>
      </c>
      <c r="B238" t="s">
        <v>26</v>
      </c>
      <c r="C238" t="s">
        <v>9</v>
      </c>
      <c r="D238">
        <v>17545</v>
      </c>
      <c r="E238" t="s">
        <v>35</v>
      </c>
      <c r="G238" s="1" t="s">
        <v>131</v>
      </c>
    </row>
    <row r="239" spans="1:7" hidden="1" x14ac:dyDescent="0.25">
      <c r="A239" t="s">
        <v>74</v>
      </c>
      <c r="B239" t="s">
        <v>26</v>
      </c>
      <c r="C239" t="s">
        <v>29</v>
      </c>
      <c r="D239" s="3">
        <f>D238*22826.78</f>
        <v>400495855.09999996</v>
      </c>
      <c r="E239" t="s">
        <v>94</v>
      </c>
      <c r="F239" t="s">
        <v>170</v>
      </c>
      <c r="G239" s="1" t="s">
        <v>169</v>
      </c>
    </row>
    <row r="240" spans="1:7" hidden="1" x14ac:dyDescent="0.25">
      <c r="F240" s="15">
        <v>2413825368.8375702</v>
      </c>
      <c r="G240" s="1" t="s">
        <v>92</v>
      </c>
    </row>
    <row r="241" spans="1:7" hidden="1" x14ac:dyDescent="0.25">
      <c r="A241" t="s">
        <v>74</v>
      </c>
      <c r="B241" t="s">
        <v>38</v>
      </c>
      <c r="C241" t="s">
        <v>9</v>
      </c>
      <c r="D241">
        <f>5060+340+320</f>
        <v>5720</v>
      </c>
      <c r="E241" t="s">
        <v>51</v>
      </c>
      <c r="F241" t="s">
        <v>98</v>
      </c>
      <c r="G241" s="1" t="s">
        <v>95</v>
      </c>
    </row>
    <row r="242" spans="1:7" hidden="1" x14ac:dyDescent="0.25">
      <c r="A242" t="s">
        <v>74</v>
      </c>
      <c r="B242" t="s">
        <v>38</v>
      </c>
      <c r="C242" t="s">
        <v>40</v>
      </c>
      <c r="D242">
        <v>38.9</v>
      </c>
      <c r="E242" t="s">
        <v>41</v>
      </c>
      <c r="F242" t="s">
        <v>87</v>
      </c>
      <c r="G242" s="1" t="s">
        <v>84</v>
      </c>
    </row>
    <row r="243" spans="1:7" hidden="1" x14ac:dyDescent="0.25">
      <c r="A243" t="s">
        <v>74</v>
      </c>
      <c r="B243" t="s">
        <v>38</v>
      </c>
      <c r="C243" t="s">
        <v>18</v>
      </c>
      <c r="F243" t="s">
        <v>43</v>
      </c>
    </row>
    <row r="244" spans="1:7" hidden="1" x14ac:dyDescent="0.25">
      <c r="A244" t="s">
        <v>74</v>
      </c>
      <c r="B244" t="s">
        <v>38</v>
      </c>
      <c r="C244" t="s">
        <v>20</v>
      </c>
      <c r="F244" t="s">
        <v>43</v>
      </c>
    </row>
    <row r="245" spans="1:7" hidden="1" x14ac:dyDescent="0.25">
      <c r="A245" t="s">
        <v>74</v>
      </c>
      <c r="B245" t="s">
        <v>38</v>
      </c>
      <c r="C245" t="s">
        <v>11</v>
      </c>
      <c r="F245" t="s">
        <v>43</v>
      </c>
    </row>
    <row r="246" spans="1:7" hidden="1" x14ac:dyDescent="0.25">
      <c r="A246" t="s">
        <v>74</v>
      </c>
      <c r="B246" t="s">
        <v>38</v>
      </c>
      <c r="C246" t="s">
        <v>24</v>
      </c>
      <c r="F246" t="s">
        <v>43</v>
      </c>
    </row>
    <row r="247" spans="1:7" hidden="1" x14ac:dyDescent="0.25">
      <c r="A247" t="s">
        <v>74</v>
      </c>
      <c r="B247" t="s">
        <v>44</v>
      </c>
      <c r="C247" t="s">
        <v>9</v>
      </c>
      <c r="D247">
        <f>667603+1328114</f>
        <v>1995717</v>
      </c>
      <c r="E247" t="s">
        <v>90</v>
      </c>
      <c r="G247" s="1" t="s">
        <v>92</v>
      </c>
    </row>
    <row r="248" spans="1:7" hidden="1" x14ac:dyDescent="0.25">
      <c r="A248" t="s">
        <v>74</v>
      </c>
      <c r="B248" t="s">
        <v>44</v>
      </c>
      <c r="C248" t="s">
        <v>40</v>
      </c>
      <c r="D248">
        <f>(24*60+20)*7/3600*(D247/SUM($D$247,$D$274,$D$302))</f>
        <v>2.0472987521574391</v>
      </c>
      <c r="E248" t="s">
        <v>41</v>
      </c>
      <c r="F248" t="s">
        <v>93</v>
      </c>
      <c r="G248" s="1" t="s">
        <v>92</v>
      </c>
    </row>
    <row r="249" spans="1:7" hidden="1" x14ac:dyDescent="0.25">
      <c r="A249" t="s">
        <v>74</v>
      </c>
      <c r="B249" t="s">
        <v>44</v>
      </c>
      <c r="C249" t="s">
        <v>18</v>
      </c>
      <c r="F249" t="s">
        <v>43</v>
      </c>
    </row>
    <row r="250" spans="1:7" hidden="1" x14ac:dyDescent="0.25">
      <c r="A250" t="s">
        <v>74</v>
      </c>
      <c r="B250" t="s">
        <v>44</v>
      </c>
      <c r="C250" t="s">
        <v>20</v>
      </c>
      <c r="F250" t="s">
        <v>43</v>
      </c>
    </row>
    <row r="251" spans="1:7" hidden="1" x14ac:dyDescent="0.25">
      <c r="A251" t="s">
        <v>74</v>
      </c>
      <c r="B251" t="s">
        <v>44</v>
      </c>
      <c r="C251" t="s">
        <v>11</v>
      </c>
      <c r="F251" t="s">
        <v>43</v>
      </c>
    </row>
    <row r="252" spans="1:7" hidden="1" x14ac:dyDescent="0.25">
      <c r="A252" t="s">
        <v>74</v>
      </c>
      <c r="B252" t="s">
        <v>44</v>
      </c>
      <c r="C252" t="s">
        <v>24</v>
      </c>
      <c r="F252" t="s">
        <v>43</v>
      </c>
    </row>
    <row r="253" spans="1:7" hidden="1" x14ac:dyDescent="0.25">
      <c r="A253" t="s">
        <v>74</v>
      </c>
      <c r="B253" t="s">
        <v>46</v>
      </c>
      <c r="C253" t="s">
        <v>9</v>
      </c>
      <c r="D253">
        <v>0</v>
      </c>
      <c r="E253" t="s">
        <v>51</v>
      </c>
    </row>
    <row r="254" spans="1:7" hidden="1" x14ac:dyDescent="0.25">
      <c r="A254" t="s">
        <v>74</v>
      </c>
      <c r="B254" t="s">
        <v>46</v>
      </c>
      <c r="C254" t="s">
        <v>40</v>
      </c>
      <c r="D254">
        <v>0</v>
      </c>
      <c r="E254" t="s">
        <v>41</v>
      </c>
    </row>
    <row r="255" spans="1:7" hidden="1" x14ac:dyDescent="0.25">
      <c r="A255" t="s">
        <v>74</v>
      </c>
      <c r="B255" t="s">
        <v>46</v>
      </c>
      <c r="C255" t="s">
        <v>18</v>
      </c>
      <c r="F255" t="s">
        <v>43</v>
      </c>
    </row>
    <row r="256" spans="1:7" hidden="1" x14ac:dyDescent="0.25">
      <c r="A256" t="s">
        <v>74</v>
      </c>
      <c r="B256" t="s">
        <v>46</v>
      </c>
      <c r="C256" t="s">
        <v>20</v>
      </c>
      <c r="F256" t="s">
        <v>43</v>
      </c>
    </row>
    <row r="257" spans="1:7" hidden="1" x14ac:dyDescent="0.25">
      <c r="A257" t="s">
        <v>74</v>
      </c>
      <c r="B257" t="s">
        <v>46</v>
      </c>
      <c r="C257" t="s">
        <v>11</v>
      </c>
      <c r="F257" t="s">
        <v>43</v>
      </c>
    </row>
    <row r="258" spans="1:7" hidden="1" x14ac:dyDescent="0.25">
      <c r="A258" t="s">
        <v>74</v>
      </c>
      <c r="B258" t="s">
        <v>46</v>
      </c>
      <c r="C258" t="s">
        <v>24</v>
      </c>
      <c r="F258" t="s">
        <v>43</v>
      </c>
    </row>
    <row r="259" spans="1:7" hidden="1" x14ac:dyDescent="0.25">
      <c r="A259" t="s">
        <v>74</v>
      </c>
      <c r="B259" t="s">
        <v>47</v>
      </c>
      <c r="C259" t="s">
        <v>9</v>
      </c>
      <c r="D259">
        <v>0</v>
      </c>
      <c r="E259" t="s">
        <v>91</v>
      </c>
    </row>
    <row r="260" spans="1:7" hidden="1" x14ac:dyDescent="0.25">
      <c r="A260" t="s">
        <v>74</v>
      </c>
      <c r="B260" t="s">
        <v>47</v>
      </c>
      <c r="C260" t="s">
        <v>40</v>
      </c>
      <c r="D260">
        <v>0</v>
      </c>
      <c r="E260" t="s">
        <v>41</v>
      </c>
    </row>
    <row r="261" spans="1:7" hidden="1" x14ac:dyDescent="0.25">
      <c r="A261" t="s">
        <v>74</v>
      </c>
      <c r="B261" t="s">
        <v>47</v>
      </c>
      <c r="C261" t="s">
        <v>18</v>
      </c>
      <c r="F261" t="s">
        <v>43</v>
      </c>
    </row>
    <row r="262" spans="1:7" hidden="1" x14ac:dyDescent="0.25">
      <c r="A262" t="s">
        <v>74</v>
      </c>
      <c r="B262" t="s">
        <v>47</v>
      </c>
      <c r="C262" t="s">
        <v>20</v>
      </c>
      <c r="F262" t="s">
        <v>43</v>
      </c>
    </row>
    <row r="263" spans="1:7" hidden="1" x14ac:dyDescent="0.25">
      <c r="A263" t="s">
        <v>74</v>
      </c>
      <c r="B263" t="s">
        <v>47</v>
      </c>
      <c r="C263" t="s">
        <v>11</v>
      </c>
      <c r="F263" t="s">
        <v>43</v>
      </c>
    </row>
    <row r="264" spans="1:7" hidden="1" x14ac:dyDescent="0.25">
      <c r="A264" t="s">
        <v>74</v>
      </c>
      <c r="B264" t="s">
        <v>47</v>
      </c>
      <c r="C264" t="s">
        <v>24</v>
      </c>
      <c r="F264" t="s">
        <v>43</v>
      </c>
    </row>
    <row r="265" spans="1:7" hidden="1" x14ac:dyDescent="0.25">
      <c r="A265" t="s">
        <v>75</v>
      </c>
      <c r="B265" t="s">
        <v>26</v>
      </c>
      <c r="C265" t="s">
        <v>9</v>
      </c>
      <c r="D265" s="3">
        <v>248114</v>
      </c>
      <c r="E265" t="s">
        <v>35</v>
      </c>
      <c r="G265" s="11" t="s">
        <v>130</v>
      </c>
    </row>
    <row r="266" spans="1:7" hidden="1" x14ac:dyDescent="0.25">
      <c r="A266" t="s">
        <v>75</v>
      </c>
      <c r="B266" t="s">
        <v>26</v>
      </c>
      <c r="C266" t="s">
        <v>29</v>
      </c>
      <c r="D266" s="3">
        <f>D265*7156.93</f>
        <v>1775734530.02</v>
      </c>
      <c r="E266" t="s">
        <v>94</v>
      </c>
      <c r="F266" t="s">
        <v>170</v>
      </c>
      <c r="G266" s="1" t="s">
        <v>169</v>
      </c>
    </row>
    <row r="267" spans="1:7" ht="30" hidden="1" x14ac:dyDescent="0.25">
      <c r="F267" s="15">
        <v>6276383101.17871</v>
      </c>
      <c r="G267" s="11" t="s">
        <v>129</v>
      </c>
    </row>
    <row r="268" spans="1:7" hidden="1" x14ac:dyDescent="0.25">
      <c r="A268" t="s">
        <v>75</v>
      </c>
      <c r="B268" t="s">
        <v>38</v>
      </c>
      <c r="C268" t="s">
        <v>9</v>
      </c>
      <c r="D268">
        <v>38150</v>
      </c>
      <c r="E268" t="s">
        <v>51</v>
      </c>
      <c r="F268" t="s">
        <v>97</v>
      </c>
      <c r="G268" s="1" t="s">
        <v>95</v>
      </c>
    </row>
    <row r="269" spans="1:7" hidden="1" x14ac:dyDescent="0.25">
      <c r="A269" t="s">
        <v>75</v>
      </c>
      <c r="B269" t="s">
        <v>38</v>
      </c>
      <c r="C269" t="s">
        <v>40</v>
      </c>
      <c r="D269">
        <v>38.9</v>
      </c>
      <c r="E269" t="s">
        <v>41</v>
      </c>
      <c r="F269" t="s">
        <v>87</v>
      </c>
      <c r="G269" s="1" t="s">
        <v>84</v>
      </c>
    </row>
    <row r="270" spans="1:7" hidden="1" x14ac:dyDescent="0.25">
      <c r="A270" t="s">
        <v>75</v>
      </c>
      <c r="B270" t="s">
        <v>38</v>
      </c>
      <c r="C270" t="s">
        <v>18</v>
      </c>
      <c r="F270" t="s">
        <v>43</v>
      </c>
    </row>
    <row r="271" spans="1:7" hidden="1" x14ac:dyDescent="0.25">
      <c r="A271" t="s">
        <v>75</v>
      </c>
      <c r="B271" t="s">
        <v>38</v>
      </c>
      <c r="C271" t="s">
        <v>20</v>
      </c>
      <c r="F271" t="s">
        <v>43</v>
      </c>
    </row>
    <row r="272" spans="1:7" hidden="1" x14ac:dyDescent="0.25">
      <c r="A272" t="s">
        <v>75</v>
      </c>
      <c r="B272" t="s">
        <v>38</v>
      </c>
      <c r="C272" t="s">
        <v>11</v>
      </c>
      <c r="F272" t="s">
        <v>43</v>
      </c>
    </row>
    <row r="273" spans="1:7" hidden="1" x14ac:dyDescent="0.25">
      <c r="A273" t="s">
        <v>75</v>
      </c>
      <c r="B273" t="s">
        <v>38</v>
      </c>
      <c r="C273" t="s">
        <v>24</v>
      </c>
      <c r="F273" t="s">
        <v>43</v>
      </c>
    </row>
    <row r="274" spans="1:7" hidden="1" x14ac:dyDescent="0.25">
      <c r="A274" t="s">
        <v>75</v>
      </c>
      <c r="B274" t="s">
        <v>44</v>
      </c>
      <c r="C274" t="s">
        <v>9</v>
      </c>
      <c r="D274">
        <v>406075</v>
      </c>
      <c r="E274" t="s">
        <v>90</v>
      </c>
      <c r="G274" s="11" t="s">
        <v>128</v>
      </c>
    </row>
    <row r="275" spans="1:7" ht="30" hidden="1" x14ac:dyDescent="0.25">
      <c r="A275" t="s">
        <v>75</v>
      </c>
      <c r="B275" t="s">
        <v>44</v>
      </c>
      <c r="C275" t="s">
        <v>40</v>
      </c>
      <c r="D275">
        <f>(24*60+20)*7/3600*(D274/SUM($D$247,$D$274,$D$302))</f>
        <v>0.41657050613004354</v>
      </c>
      <c r="E275" t="s">
        <v>41</v>
      </c>
      <c r="F275" t="s">
        <v>93</v>
      </c>
      <c r="G275" s="11" t="s">
        <v>129</v>
      </c>
    </row>
    <row r="276" spans="1:7" hidden="1" x14ac:dyDescent="0.25">
      <c r="A276" t="s">
        <v>75</v>
      </c>
      <c r="B276" t="s">
        <v>44</v>
      </c>
      <c r="C276" t="s">
        <v>18</v>
      </c>
      <c r="F276" t="s">
        <v>43</v>
      </c>
    </row>
    <row r="277" spans="1:7" hidden="1" x14ac:dyDescent="0.25">
      <c r="A277" t="s">
        <v>75</v>
      </c>
      <c r="B277" t="s">
        <v>44</v>
      </c>
      <c r="C277" t="s">
        <v>20</v>
      </c>
      <c r="F277" t="s">
        <v>43</v>
      </c>
    </row>
    <row r="278" spans="1:7" hidden="1" x14ac:dyDescent="0.25">
      <c r="A278" t="s">
        <v>75</v>
      </c>
      <c r="B278" t="s">
        <v>44</v>
      </c>
      <c r="C278" t="s">
        <v>11</v>
      </c>
      <c r="F278" t="s">
        <v>43</v>
      </c>
    </row>
    <row r="279" spans="1:7" hidden="1" x14ac:dyDescent="0.25">
      <c r="A279" t="s">
        <v>75</v>
      </c>
      <c r="B279" t="s">
        <v>44</v>
      </c>
      <c r="C279" t="s">
        <v>24</v>
      </c>
      <c r="F279" t="s">
        <v>43</v>
      </c>
    </row>
    <row r="280" spans="1:7" hidden="1" x14ac:dyDescent="0.25">
      <c r="A280" t="s">
        <v>75</v>
      </c>
      <c r="B280" t="s">
        <v>46</v>
      </c>
      <c r="C280" t="s">
        <v>9</v>
      </c>
      <c r="D280">
        <v>0</v>
      </c>
      <c r="E280" t="s">
        <v>51</v>
      </c>
    </row>
    <row r="281" spans="1:7" hidden="1" x14ac:dyDescent="0.25">
      <c r="A281" t="s">
        <v>75</v>
      </c>
      <c r="B281" t="s">
        <v>46</v>
      </c>
      <c r="C281" t="s">
        <v>40</v>
      </c>
      <c r="D281">
        <v>0</v>
      </c>
      <c r="E281" t="s">
        <v>41</v>
      </c>
    </row>
    <row r="282" spans="1:7" hidden="1" x14ac:dyDescent="0.25">
      <c r="A282" t="s">
        <v>75</v>
      </c>
      <c r="B282" t="s">
        <v>46</v>
      </c>
      <c r="C282" t="s">
        <v>18</v>
      </c>
      <c r="F282" t="s">
        <v>43</v>
      </c>
    </row>
    <row r="283" spans="1:7" hidden="1" x14ac:dyDescent="0.25">
      <c r="A283" t="s">
        <v>75</v>
      </c>
      <c r="B283" t="s">
        <v>46</v>
      </c>
      <c r="C283" t="s">
        <v>20</v>
      </c>
      <c r="F283" t="s">
        <v>43</v>
      </c>
    </row>
    <row r="284" spans="1:7" hidden="1" x14ac:dyDescent="0.25">
      <c r="A284" t="s">
        <v>75</v>
      </c>
      <c r="B284" t="s">
        <v>46</v>
      </c>
      <c r="C284" t="s">
        <v>11</v>
      </c>
      <c r="F284" t="s">
        <v>43</v>
      </c>
    </row>
    <row r="285" spans="1:7" hidden="1" x14ac:dyDescent="0.25">
      <c r="A285" t="s">
        <v>75</v>
      </c>
      <c r="B285" t="s">
        <v>46</v>
      </c>
      <c r="C285" t="s">
        <v>24</v>
      </c>
      <c r="F285" t="s">
        <v>43</v>
      </c>
    </row>
    <row r="286" spans="1:7" hidden="1" x14ac:dyDescent="0.25">
      <c r="A286" t="s">
        <v>75</v>
      </c>
      <c r="B286" t="s">
        <v>47</v>
      </c>
      <c r="C286" t="s">
        <v>9</v>
      </c>
      <c r="D286">
        <v>0</v>
      </c>
      <c r="E286" t="s">
        <v>91</v>
      </c>
    </row>
    <row r="287" spans="1:7" hidden="1" x14ac:dyDescent="0.25">
      <c r="A287" t="s">
        <v>75</v>
      </c>
      <c r="B287" t="s">
        <v>47</v>
      </c>
      <c r="C287" t="s">
        <v>40</v>
      </c>
      <c r="D287">
        <v>0</v>
      </c>
      <c r="E287" t="s">
        <v>41</v>
      </c>
    </row>
    <row r="288" spans="1:7" hidden="1" x14ac:dyDescent="0.25">
      <c r="A288" t="s">
        <v>75</v>
      </c>
      <c r="B288" t="s">
        <v>47</v>
      </c>
      <c r="C288" t="s">
        <v>18</v>
      </c>
      <c r="F288" t="s">
        <v>43</v>
      </c>
    </row>
    <row r="289" spans="1:7" hidden="1" x14ac:dyDescent="0.25">
      <c r="A289" t="s">
        <v>75</v>
      </c>
      <c r="B289" t="s">
        <v>47</v>
      </c>
      <c r="C289" t="s">
        <v>20</v>
      </c>
      <c r="F289" t="s">
        <v>43</v>
      </c>
    </row>
    <row r="290" spans="1:7" hidden="1" x14ac:dyDescent="0.25">
      <c r="A290" t="s">
        <v>75</v>
      </c>
      <c r="B290" t="s">
        <v>47</v>
      </c>
      <c r="C290" t="s">
        <v>11</v>
      </c>
      <c r="F290" t="s">
        <v>43</v>
      </c>
    </row>
    <row r="291" spans="1:7" hidden="1" x14ac:dyDescent="0.25">
      <c r="A291" t="s">
        <v>75</v>
      </c>
      <c r="B291" t="s">
        <v>47</v>
      </c>
      <c r="C291" t="s">
        <v>24</v>
      </c>
      <c r="F291" t="s">
        <v>43</v>
      </c>
    </row>
    <row r="292" spans="1:7" hidden="1" x14ac:dyDescent="0.25">
      <c r="A292" t="s">
        <v>76</v>
      </c>
      <c r="B292" t="s">
        <v>26</v>
      </c>
      <c r="C292" t="s">
        <v>9</v>
      </c>
      <c r="D292" s="3">
        <v>16196756</v>
      </c>
      <c r="E292" t="s">
        <v>35</v>
      </c>
      <c r="F292" t="s">
        <v>171</v>
      </c>
      <c r="G292" s="1" t="s">
        <v>169</v>
      </c>
    </row>
    <row r="293" spans="1:7" hidden="1" x14ac:dyDescent="0.25">
      <c r="F293">
        <v>485</v>
      </c>
      <c r="G293" s="11" t="s">
        <v>168</v>
      </c>
    </row>
    <row r="294" spans="1:7" hidden="1" x14ac:dyDescent="0.25">
      <c r="A294" t="s">
        <v>76</v>
      </c>
      <c r="B294" t="s">
        <v>26</v>
      </c>
      <c r="C294" t="s">
        <v>29</v>
      </c>
      <c r="D294" s="3">
        <f>D292*7156.93</f>
        <v>115919048919.08</v>
      </c>
      <c r="E294" t="s">
        <v>94</v>
      </c>
      <c r="F294" t="s">
        <v>170</v>
      </c>
      <c r="G294" s="1" t="s">
        <v>169</v>
      </c>
    </row>
    <row r="295" spans="1:7" hidden="1" x14ac:dyDescent="0.25">
      <c r="D295" s="15"/>
      <c r="F295" s="15">
        <v>16196756</v>
      </c>
      <c r="G295" s="11" t="s">
        <v>132</v>
      </c>
    </row>
    <row r="296" spans="1:7" hidden="1" x14ac:dyDescent="0.25">
      <c r="A296" t="s">
        <v>76</v>
      </c>
      <c r="B296" t="s">
        <v>38</v>
      </c>
      <c r="C296" t="s">
        <v>9</v>
      </c>
      <c r="D296">
        <v>105430</v>
      </c>
      <c r="E296" t="s">
        <v>51</v>
      </c>
      <c r="F296" t="s">
        <v>96</v>
      </c>
      <c r="G296" s="1" t="s">
        <v>95</v>
      </c>
    </row>
    <row r="297" spans="1:7" hidden="1" x14ac:dyDescent="0.25">
      <c r="A297" t="s">
        <v>76</v>
      </c>
      <c r="B297" t="s">
        <v>38</v>
      </c>
      <c r="C297" t="s">
        <v>40</v>
      </c>
      <c r="D297">
        <v>38.9</v>
      </c>
      <c r="E297" t="s">
        <v>41</v>
      </c>
      <c r="F297" t="s">
        <v>87</v>
      </c>
      <c r="G297" s="1" t="s">
        <v>84</v>
      </c>
    </row>
    <row r="298" spans="1:7" hidden="1" x14ac:dyDescent="0.25">
      <c r="A298" t="s">
        <v>76</v>
      </c>
      <c r="B298" t="s">
        <v>38</v>
      </c>
      <c r="C298" t="s">
        <v>18</v>
      </c>
      <c r="F298" t="s">
        <v>43</v>
      </c>
    </row>
    <row r="299" spans="1:7" hidden="1" x14ac:dyDescent="0.25">
      <c r="A299" t="s">
        <v>76</v>
      </c>
      <c r="B299" t="s">
        <v>38</v>
      </c>
      <c r="C299" t="s">
        <v>20</v>
      </c>
      <c r="F299" t="s">
        <v>43</v>
      </c>
    </row>
    <row r="300" spans="1:7" hidden="1" x14ac:dyDescent="0.25">
      <c r="A300" t="s">
        <v>76</v>
      </c>
      <c r="B300" t="s">
        <v>38</v>
      </c>
      <c r="C300" t="s">
        <v>11</v>
      </c>
      <c r="F300" t="s">
        <v>43</v>
      </c>
    </row>
    <row r="301" spans="1:7" hidden="1" x14ac:dyDescent="0.25">
      <c r="A301" t="s">
        <v>76</v>
      </c>
      <c r="B301" t="s">
        <v>38</v>
      </c>
      <c r="C301" t="s">
        <v>24</v>
      </c>
      <c r="F301" t="s">
        <v>43</v>
      </c>
    </row>
    <row r="302" spans="1:7" hidden="1" x14ac:dyDescent="0.25">
      <c r="A302" t="s">
        <v>76</v>
      </c>
      <c r="B302" t="s">
        <v>44</v>
      </c>
      <c r="C302" t="s">
        <v>9</v>
      </c>
      <c r="D302">
        <v>365571</v>
      </c>
      <c r="E302" t="s">
        <v>90</v>
      </c>
      <c r="G302" s="1" t="s">
        <v>92</v>
      </c>
    </row>
    <row r="303" spans="1:7" hidden="1" x14ac:dyDescent="0.25">
      <c r="A303" t="s">
        <v>76</v>
      </c>
      <c r="B303" t="s">
        <v>44</v>
      </c>
      <c r="C303" t="s">
        <v>40</v>
      </c>
      <c r="D303">
        <f>(24*60+20)*7/3600*(D302/SUM($D$247,$D$274,$D$302))</f>
        <v>0.37501963060140647</v>
      </c>
      <c r="E303" t="s">
        <v>41</v>
      </c>
      <c r="F303" t="s">
        <v>93</v>
      </c>
      <c r="G303" s="1" t="s">
        <v>92</v>
      </c>
    </row>
    <row r="304" spans="1:7" hidden="1" x14ac:dyDescent="0.25">
      <c r="A304" t="s">
        <v>76</v>
      </c>
      <c r="B304" t="s">
        <v>44</v>
      </c>
      <c r="C304" t="s">
        <v>18</v>
      </c>
      <c r="F304" t="s">
        <v>43</v>
      </c>
    </row>
    <row r="305" spans="1:7" hidden="1" x14ac:dyDescent="0.25">
      <c r="A305" t="s">
        <v>76</v>
      </c>
      <c r="B305" t="s">
        <v>44</v>
      </c>
      <c r="C305" t="s">
        <v>20</v>
      </c>
      <c r="F305" t="s">
        <v>43</v>
      </c>
    </row>
    <row r="306" spans="1:7" hidden="1" x14ac:dyDescent="0.25">
      <c r="A306" t="s">
        <v>76</v>
      </c>
      <c r="B306" t="s">
        <v>44</v>
      </c>
      <c r="C306" t="s">
        <v>11</v>
      </c>
      <c r="F306" t="s">
        <v>43</v>
      </c>
    </row>
    <row r="307" spans="1:7" hidden="1" x14ac:dyDescent="0.25">
      <c r="A307" t="s">
        <v>76</v>
      </c>
      <c r="B307" t="s">
        <v>44</v>
      </c>
      <c r="C307" t="s">
        <v>24</v>
      </c>
      <c r="F307" t="s">
        <v>43</v>
      </c>
    </row>
    <row r="308" spans="1:7" hidden="1" x14ac:dyDescent="0.25">
      <c r="A308" t="s">
        <v>76</v>
      </c>
      <c r="B308" t="s">
        <v>46</v>
      </c>
      <c r="C308" t="s">
        <v>9</v>
      </c>
      <c r="D308">
        <v>0</v>
      </c>
      <c r="E308" t="s">
        <v>51</v>
      </c>
    </row>
    <row r="309" spans="1:7" hidden="1" x14ac:dyDescent="0.25">
      <c r="A309" t="s">
        <v>76</v>
      </c>
      <c r="B309" t="s">
        <v>46</v>
      </c>
      <c r="C309" t="s">
        <v>40</v>
      </c>
      <c r="D309">
        <v>0</v>
      </c>
      <c r="E309" t="s">
        <v>41</v>
      </c>
    </row>
    <row r="310" spans="1:7" hidden="1" x14ac:dyDescent="0.25">
      <c r="A310" t="s">
        <v>76</v>
      </c>
      <c r="B310" t="s">
        <v>46</v>
      </c>
      <c r="C310" t="s">
        <v>18</v>
      </c>
      <c r="F310" t="s">
        <v>43</v>
      </c>
    </row>
    <row r="311" spans="1:7" hidden="1" x14ac:dyDescent="0.25">
      <c r="A311" t="s">
        <v>76</v>
      </c>
      <c r="B311" t="s">
        <v>46</v>
      </c>
      <c r="C311" t="s">
        <v>20</v>
      </c>
      <c r="F311" t="s">
        <v>43</v>
      </c>
    </row>
    <row r="312" spans="1:7" hidden="1" x14ac:dyDescent="0.25">
      <c r="A312" t="s">
        <v>76</v>
      </c>
      <c r="B312" t="s">
        <v>46</v>
      </c>
      <c r="C312" t="s">
        <v>11</v>
      </c>
      <c r="F312" t="s">
        <v>43</v>
      </c>
    </row>
    <row r="313" spans="1:7" hidden="1" x14ac:dyDescent="0.25">
      <c r="A313" t="s">
        <v>76</v>
      </c>
      <c r="B313" t="s">
        <v>46</v>
      </c>
      <c r="C313" t="s">
        <v>24</v>
      </c>
      <c r="F313" t="s">
        <v>43</v>
      </c>
    </row>
    <row r="314" spans="1:7" hidden="1" x14ac:dyDescent="0.25">
      <c r="A314" t="s">
        <v>76</v>
      </c>
      <c r="B314" t="s">
        <v>47</v>
      </c>
      <c r="C314" t="s">
        <v>9</v>
      </c>
      <c r="D314">
        <f>SUM(D302,D274,D247)*0.026</f>
        <v>71951.437999999995</v>
      </c>
      <c r="E314" t="s">
        <v>91</v>
      </c>
      <c r="F314" t="s">
        <v>100</v>
      </c>
      <c r="G314" s="1" t="s">
        <v>99</v>
      </c>
    </row>
    <row r="315" spans="1:7" hidden="1" x14ac:dyDescent="0.25">
      <c r="F315" s="9" t="s">
        <v>101</v>
      </c>
      <c r="G315" s="1" t="s">
        <v>102</v>
      </c>
    </row>
    <row r="316" spans="1:7" hidden="1" x14ac:dyDescent="0.25">
      <c r="A316" t="s">
        <v>76</v>
      </c>
      <c r="B316" t="s">
        <v>47</v>
      </c>
      <c r="C316" t="s">
        <v>40</v>
      </c>
      <c r="D316">
        <f>(24*60+20)*7/3600</f>
        <v>2.838888888888889</v>
      </c>
      <c r="E316" t="s">
        <v>41</v>
      </c>
      <c r="F316" t="s">
        <v>103</v>
      </c>
      <c r="G316" s="1" t="s">
        <v>92</v>
      </c>
    </row>
    <row r="317" spans="1:7" hidden="1" x14ac:dyDescent="0.25">
      <c r="A317" t="s">
        <v>76</v>
      </c>
      <c r="B317" t="s">
        <v>47</v>
      </c>
      <c r="C317" t="s">
        <v>18</v>
      </c>
      <c r="F317" t="s">
        <v>43</v>
      </c>
    </row>
    <row r="318" spans="1:7" hidden="1" x14ac:dyDescent="0.25">
      <c r="A318" t="s">
        <v>76</v>
      </c>
      <c r="B318" t="s">
        <v>47</v>
      </c>
      <c r="C318" t="s">
        <v>20</v>
      </c>
      <c r="F318" t="s">
        <v>43</v>
      </c>
    </row>
    <row r="319" spans="1:7" hidden="1" x14ac:dyDescent="0.25">
      <c r="A319" t="s">
        <v>76</v>
      </c>
      <c r="B319" t="s">
        <v>47</v>
      </c>
      <c r="C319" t="s">
        <v>11</v>
      </c>
      <c r="F319" t="s">
        <v>43</v>
      </c>
    </row>
    <row r="320" spans="1:7" hidden="1" x14ac:dyDescent="0.25">
      <c r="A320" t="s">
        <v>76</v>
      </c>
      <c r="B320" t="s">
        <v>47</v>
      </c>
      <c r="C320" t="s">
        <v>24</v>
      </c>
      <c r="F320" t="s">
        <v>43</v>
      </c>
    </row>
    <row r="321" spans="1:7" hidden="1" x14ac:dyDescent="0.25">
      <c r="A321" t="s">
        <v>77</v>
      </c>
      <c r="B321" t="s">
        <v>26</v>
      </c>
      <c r="C321" t="s">
        <v>9</v>
      </c>
      <c r="D321">
        <v>22988</v>
      </c>
      <c r="E321" t="s">
        <v>35</v>
      </c>
      <c r="F321" t="s">
        <v>123</v>
      </c>
      <c r="G321" s="1" t="s">
        <v>122</v>
      </c>
    </row>
    <row r="322" spans="1:7" hidden="1" x14ac:dyDescent="0.25">
      <c r="A322" t="s">
        <v>77</v>
      </c>
      <c r="B322" t="s">
        <v>26</v>
      </c>
      <c r="C322" t="s">
        <v>29</v>
      </c>
      <c r="D322">
        <f>2080283*4046.86</f>
        <v>8418614061.3800001</v>
      </c>
      <c r="E322" t="s">
        <v>37</v>
      </c>
      <c r="F322" t="s">
        <v>124</v>
      </c>
      <c r="G322" s="1" t="s">
        <v>122</v>
      </c>
    </row>
    <row r="323" spans="1:7" hidden="1" x14ac:dyDescent="0.25">
      <c r="A323" t="s">
        <v>77</v>
      </c>
      <c r="B323" t="s">
        <v>38</v>
      </c>
      <c r="C323" t="s">
        <v>9</v>
      </c>
      <c r="D323">
        <v>160000</v>
      </c>
      <c r="E323" t="s">
        <v>51</v>
      </c>
      <c r="F323" t="s">
        <v>125</v>
      </c>
      <c r="G323" s="1" t="s">
        <v>126</v>
      </c>
    </row>
    <row r="324" spans="1:7" hidden="1" x14ac:dyDescent="0.25">
      <c r="A324" t="s">
        <v>77</v>
      </c>
      <c r="B324" t="s">
        <v>38</v>
      </c>
      <c r="C324" t="s">
        <v>40</v>
      </c>
      <c r="D324">
        <v>40</v>
      </c>
      <c r="E324" t="s">
        <v>41</v>
      </c>
      <c r="G324" s="1" t="s">
        <v>104</v>
      </c>
    </row>
    <row r="325" spans="1:7" hidden="1" x14ac:dyDescent="0.25">
      <c r="G325" s="1" t="s">
        <v>105</v>
      </c>
    </row>
    <row r="326" spans="1:7" hidden="1" x14ac:dyDescent="0.25">
      <c r="A326" t="s">
        <v>77</v>
      </c>
      <c r="B326" t="s">
        <v>38</v>
      </c>
      <c r="C326" t="s">
        <v>18</v>
      </c>
      <c r="F326" t="s">
        <v>43</v>
      </c>
    </row>
    <row r="327" spans="1:7" hidden="1" x14ac:dyDescent="0.25">
      <c r="A327" t="s">
        <v>77</v>
      </c>
      <c r="B327" t="s">
        <v>38</v>
      </c>
      <c r="C327" t="s">
        <v>20</v>
      </c>
      <c r="F327" t="s">
        <v>43</v>
      </c>
    </row>
    <row r="328" spans="1:7" hidden="1" x14ac:dyDescent="0.25">
      <c r="A328" t="s">
        <v>77</v>
      </c>
      <c r="B328" t="s">
        <v>38</v>
      </c>
      <c r="C328" t="s">
        <v>11</v>
      </c>
      <c r="F328" t="s">
        <v>43</v>
      </c>
    </row>
    <row r="329" spans="1:7" hidden="1" x14ac:dyDescent="0.25">
      <c r="A329" t="s">
        <v>77</v>
      </c>
      <c r="B329" t="s">
        <v>38</v>
      </c>
      <c r="C329" t="s">
        <v>24</v>
      </c>
      <c r="F329" t="s">
        <v>43</v>
      </c>
    </row>
    <row r="330" spans="1:7" hidden="1" x14ac:dyDescent="0.25">
      <c r="A330" t="s">
        <v>77</v>
      </c>
      <c r="B330" t="s">
        <v>44</v>
      </c>
      <c r="C330" t="s">
        <v>9</v>
      </c>
      <c r="D330">
        <f>237624785/52</f>
        <v>4569707.403846154</v>
      </c>
      <c r="E330" t="s">
        <v>51</v>
      </c>
      <c r="F330" t="s">
        <v>127</v>
      </c>
      <c r="G330" s="1" t="s">
        <v>122</v>
      </c>
    </row>
    <row r="331" spans="1:7" hidden="1" x14ac:dyDescent="0.25">
      <c r="A331" t="s">
        <v>77</v>
      </c>
      <c r="B331" t="s">
        <v>44</v>
      </c>
      <c r="C331" t="s">
        <v>40</v>
      </c>
      <c r="D331">
        <v>5</v>
      </c>
      <c r="E331" t="s">
        <v>41</v>
      </c>
      <c r="G331" s="1" t="s">
        <v>106</v>
      </c>
    </row>
    <row r="332" spans="1:7" hidden="1" x14ac:dyDescent="0.25">
      <c r="A332" t="s">
        <v>77</v>
      </c>
      <c r="B332" t="s">
        <v>44</v>
      </c>
      <c r="C332" t="s">
        <v>18</v>
      </c>
      <c r="F332" t="s">
        <v>43</v>
      </c>
    </row>
    <row r="333" spans="1:7" hidden="1" x14ac:dyDescent="0.25">
      <c r="A333" t="s">
        <v>77</v>
      </c>
      <c r="B333" t="s">
        <v>44</v>
      </c>
      <c r="C333" t="s">
        <v>20</v>
      </c>
      <c r="F333" t="s">
        <v>43</v>
      </c>
    </row>
    <row r="334" spans="1:7" hidden="1" x14ac:dyDescent="0.25">
      <c r="A334" t="s">
        <v>77</v>
      </c>
      <c r="B334" t="s">
        <v>44</v>
      </c>
      <c r="C334" t="s">
        <v>11</v>
      </c>
      <c r="F334" t="s">
        <v>43</v>
      </c>
    </row>
    <row r="335" spans="1:7" hidden="1" x14ac:dyDescent="0.25">
      <c r="A335" t="s">
        <v>77</v>
      </c>
      <c r="B335" t="s">
        <v>44</v>
      </c>
      <c r="C335" t="s">
        <v>24</v>
      </c>
      <c r="F335" t="s">
        <v>43</v>
      </c>
    </row>
    <row r="336" spans="1:7" hidden="1" x14ac:dyDescent="0.25">
      <c r="A336" t="s">
        <v>77</v>
      </c>
      <c r="B336" t="s">
        <v>46</v>
      </c>
      <c r="C336" t="s">
        <v>9</v>
      </c>
      <c r="D336">
        <v>0</v>
      </c>
      <c r="E336" t="s">
        <v>51</v>
      </c>
    </row>
    <row r="337" spans="1:7" hidden="1" x14ac:dyDescent="0.25">
      <c r="A337" t="s">
        <v>77</v>
      </c>
      <c r="B337" t="s">
        <v>46</v>
      </c>
      <c r="C337" t="s">
        <v>40</v>
      </c>
      <c r="D337">
        <v>0</v>
      </c>
      <c r="E337" t="s">
        <v>41</v>
      </c>
    </row>
    <row r="338" spans="1:7" hidden="1" x14ac:dyDescent="0.25">
      <c r="A338" t="s">
        <v>77</v>
      </c>
      <c r="B338" t="s">
        <v>46</v>
      </c>
      <c r="C338" t="s">
        <v>18</v>
      </c>
      <c r="F338" t="s">
        <v>43</v>
      </c>
    </row>
    <row r="339" spans="1:7" hidden="1" x14ac:dyDescent="0.25">
      <c r="A339" t="s">
        <v>77</v>
      </c>
      <c r="B339" t="s">
        <v>46</v>
      </c>
      <c r="C339" t="s">
        <v>20</v>
      </c>
      <c r="F339" t="s">
        <v>43</v>
      </c>
    </row>
    <row r="340" spans="1:7" hidden="1" x14ac:dyDescent="0.25">
      <c r="A340" t="s">
        <v>77</v>
      </c>
      <c r="B340" t="s">
        <v>46</v>
      </c>
      <c r="C340" t="s">
        <v>11</v>
      </c>
      <c r="F340" t="s">
        <v>43</v>
      </c>
    </row>
    <row r="341" spans="1:7" hidden="1" x14ac:dyDescent="0.25">
      <c r="A341" t="s">
        <v>77</v>
      </c>
      <c r="B341" t="s">
        <v>46</v>
      </c>
      <c r="C341" t="s">
        <v>24</v>
      </c>
      <c r="F341" t="s">
        <v>43</v>
      </c>
    </row>
    <row r="342" spans="1:7" hidden="1" x14ac:dyDescent="0.25">
      <c r="A342" t="s">
        <v>77</v>
      </c>
      <c r="B342" t="s">
        <v>47</v>
      </c>
      <c r="C342" t="s">
        <v>9</v>
      </c>
      <c r="D342">
        <v>0</v>
      </c>
      <c r="E342" t="s">
        <v>51</v>
      </c>
    </row>
    <row r="343" spans="1:7" hidden="1" x14ac:dyDescent="0.25">
      <c r="A343" t="s">
        <v>77</v>
      </c>
      <c r="B343" t="s">
        <v>47</v>
      </c>
      <c r="C343" t="s">
        <v>40</v>
      </c>
      <c r="D343">
        <v>0</v>
      </c>
      <c r="E343" t="s">
        <v>41</v>
      </c>
    </row>
    <row r="344" spans="1:7" hidden="1" x14ac:dyDescent="0.25">
      <c r="A344" t="s">
        <v>77</v>
      </c>
      <c r="B344" t="s">
        <v>47</v>
      </c>
      <c r="C344" t="s">
        <v>18</v>
      </c>
      <c r="F344" t="s">
        <v>43</v>
      </c>
    </row>
    <row r="345" spans="1:7" hidden="1" x14ac:dyDescent="0.25">
      <c r="A345" t="s">
        <v>77</v>
      </c>
      <c r="B345" t="s">
        <v>47</v>
      </c>
      <c r="C345" t="s">
        <v>20</v>
      </c>
      <c r="F345" t="s">
        <v>43</v>
      </c>
    </row>
    <row r="346" spans="1:7" hidden="1" x14ac:dyDescent="0.25">
      <c r="A346" t="s">
        <v>77</v>
      </c>
      <c r="B346" t="s">
        <v>47</v>
      </c>
      <c r="C346" t="s">
        <v>11</v>
      </c>
      <c r="F346" t="s">
        <v>43</v>
      </c>
    </row>
    <row r="347" spans="1:7" hidden="1" x14ac:dyDescent="0.25">
      <c r="A347" t="s">
        <v>77</v>
      </c>
      <c r="B347" t="s">
        <v>47</v>
      </c>
      <c r="C347" t="s">
        <v>24</v>
      </c>
      <c r="F347" t="s">
        <v>43</v>
      </c>
    </row>
    <row r="348" spans="1:7" hidden="1" x14ac:dyDescent="0.25">
      <c r="A348" t="s">
        <v>78</v>
      </c>
      <c r="B348" t="s">
        <v>26</v>
      </c>
      <c r="C348" t="s">
        <v>9</v>
      </c>
      <c r="D348">
        <v>944000</v>
      </c>
      <c r="E348" t="s">
        <v>35</v>
      </c>
      <c r="G348" s="1" t="s">
        <v>79</v>
      </c>
    </row>
    <row r="349" spans="1:7" hidden="1" x14ac:dyDescent="0.25">
      <c r="A349" t="s">
        <v>78</v>
      </c>
      <c r="B349" t="s">
        <v>26</v>
      </c>
      <c r="C349" t="s">
        <v>29</v>
      </c>
      <c r="D349">
        <f>CONVERT(17000,"ft^2","m^2")</f>
        <v>1579.35168</v>
      </c>
      <c r="E349" t="s">
        <v>37</v>
      </c>
      <c r="G349" s="1" t="s">
        <v>28</v>
      </c>
    </row>
    <row r="350" spans="1:7" hidden="1" x14ac:dyDescent="0.25">
      <c r="A350" t="s">
        <v>78</v>
      </c>
      <c r="B350" t="s">
        <v>38</v>
      </c>
      <c r="C350" t="s">
        <v>9</v>
      </c>
      <c r="D350">
        <f>SUM(3074400,9044500,22571500)</f>
        <v>34690400</v>
      </c>
      <c r="E350" t="s">
        <v>51</v>
      </c>
      <c r="G350" s="1" t="s">
        <v>39</v>
      </c>
    </row>
    <row r="351" spans="1:7" hidden="1" x14ac:dyDescent="0.25">
      <c r="A351" t="s">
        <v>78</v>
      </c>
      <c r="B351" t="s">
        <v>38</v>
      </c>
      <c r="C351" t="s">
        <v>40</v>
      </c>
      <c r="D351">
        <f>AVERAGE(36.6,37.4,36.4)</f>
        <v>36.800000000000004</v>
      </c>
      <c r="E351" t="s">
        <v>41</v>
      </c>
      <c r="F351" s="8" t="s">
        <v>89</v>
      </c>
      <c r="G351" s="8"/>
    </row>
    <row r="352" spans="1:7" hidden="1" x14ac:dyDescent="0.25">
      <c r="A352" t="s">
        <v>78</v>
      </c>
      <c r="B352" t="s">
        <v>38</v>
      </c>
      <c r="C352" t="s">
        <v>18</v>
      </c>
      <c r="D352">
        <v>0</v>
      </c>
    </row>
    <row r="353" spans="1:6" hidden="1" x14ac:dyDescent="0.25">
      <c r="A353" t="s">
        <v>78</v>
      </c>
      <c r="B353" t="s">
        <v>38</v>
      </c>
      <c r="C353" t="s">
        <v>20</v>
      </c>
      <c r="D353">
        <v>0</v>
      </c>
    </row>
    <row r="354" spans="1:6" hidden="1" x14ac:dyDescent="0.25">
      <c r="A354" t="s">
        <v>78</v>
      </c>
      <c r="B354" t="s">
        <v>38</v>
      </c>
      <c r="C354" t="s">
        <v>11</v>
      </c>
      <c r="F354" t="s">
        <v>43</v>
      </c>
    </row>
    <row r="355" spans="1:6" hidden="1" x14ac:dyDescent="0.25">
      <c r="A355" t="s">
        <v>78</v>
      </c>
      <c r="B355" t="s">
        <v>38</v>
      </c>
      <c r="C355" t="s">
        <v>24</v>
      </c>
      <c r="F355" t="s">
        <v>43</v>
      </c>
    </row>
    <row r="356" spans="1:6" hidden="1" x14ac:dyDescent="0.25">
      <c r="A356" t="s">
        <v>78</v>
      </c>
      <c r="B356" t="s">
        <v>44</v>
      </c>
      <c r="C356" t="s">
        <v>9</v>
      </c>
      <c r="D356">
        <v>0</v>
      </c>
      <c r="E356" t="s">
        <v>51</v>
      </c>
    </row>
    <row r="357" spans="1:6" hidden="1" x14ac:dyDescent="0.25">
      <c r="A357" t="s">
        <v>78</v>
      </c>
      <c r="B357" t="s">
        <v>44</v>
      </c>
      <c r="C357" t="s">
        <v>40</v>
      </c>
      <c r="D357">
        <v>0</v>
      </c>
      <c r="E357" t="s">
        <v>41</v>
      </c>
    </row>
    <row r="358" spans="1:6" hidden="1" x14ac:dyDescent="0.25">
      <c r="A358" t="s">
        <v>78</v>
      </c>
      <c r="B358" t="s">
        <v>44</v>
      </c>
      <c r="C358" t="s">
        <v>18</v>
      </c>
      <c r="F358" t="s">
        <v>43</v>
      </c>
    </row>
    <row r="359" spans="1:6" hidden="1" x14ac:dyDescent="0.25">
      <c r="A359" t="s">
        <v>78</v>
      </c>
      <c r="B359" t="s">
        <v>44</v>
      </c>
      <c r="C359" t="s">
        <v>20</v>
      </c>
      <c r="F359" t="s">
        <v>43</v>
      </c>
    </row>
    <row r="360" spans="1:6" hidden="1" x14ac:dyDescent="0.25">
      <c r="A360" t="s">
        <v>78</v>
      </c>
      <c r="B360" t="s">
        <v>44</v>
      </c>
      <c r="C360" t="s">
        <v>11</v>
      </c>
      <c r="F360" t="s">
        <v>43</v>
      </c>
    </row>
    <row r="361" spans="1:6" hidden="1" x14ac:dyDescent="0.25">
      <c r="A361" t="s">
        <v>78</v>
      </c>
      <c r="B361" t="s">
        <v>44</v>
      </c>
      <c r="C361" t="s">
        <v>24</v>
      </c>
      <c r="F361" t="s">
        <v>43</v>
      </c>
    </row>
    <row r="362" spans="1:6" hidden="1" x14ac:dyDescent="0.25">
      <c r="A362" t="s">
        <v>78</v>
      </c>
      <c r="B362" t="s">
        <v>46</v>
      </c>
      <c r="C362" t="s">
        <v>9</v>
      </c>
      <c r="D362">
        <v>0</v>
      </c>
      <c r="E362" t="s">
        <v>51</v>
      </c>
    </row>
    <row r="363" spans="1:6" hidden="1" x14ac:dyDescent="0.25">
      <c r="A363" t="s">
        <v>78</v>
      </c>
      <c r="B363" t="s">
        <v>46</v>
      </c>
      <c r="C363" t="s">
        <v>40</v>
      </c>
      <c r="D363">
        <v>0</v>
      </c>
      <c r="E363" t="s">
        <v>41</v>
      </c>
    </row>
    <row r="364" spans="1:6" hidden="1" x14ac:dyDescent="0.25">
      <c r="A364" t="s">
        <v>78</v>
      </c>
      <c r="B364" t="s">
        <v>46</v>
      </c>
      <c r="C364" t="s">
        <v>18</v>
      </c>
      <c r="F364" t="s">
        <v>43</v>
      </c>
    </row>
    <row r="365" spans="1:6" hidden="1" x14ac:dyDescent="0.25">
      <c r="A365" t="s">
        <v>78</v>
      </c>
      <c r="B365" t="s">
        <v>46</v>
      </c>
      <c r="C365" t="s">
        <v>20</v>
      </c>
      <c r="F365" t="s">
        <v>43</v>
      </c>
    </row>
    <row r="366" spans="1:6" hidden="1" x14ac:dyDescent="0.25">
      <c r="A366" t="s">
        <v>78</v>
      </c>
      <c r="B366" t="s">
        <v>46</v>
      </c>
      <c r="C366" t="s">
        <v>11</v>
      </c>
      <c r="F366" t="s">
        <v>43</v>
      </c>
    </row>
    <row r="367" spans="1:6" hidden="1" x14ac:dyDescent="0.25">
      <c r="A367" t="s">
        <v>78</v>
      </c>
      <c r="B367" t="s">
        <v>46</v>
      </c>
      <c r="C367" t="s">
        <v>24</v>
      </c>
      <c r="F367" t="s">
        <v>43</v>
      </c>
    </row>
    <row r="368" spans="1:6" hidden="1" x14ac:dyDescent="0.25">
      <c r="A368" t="s">
        <v>78</v>
      </c>
      <c r="B368" t="s">
        <v>47</v>
      </c>
      <c r="C368" t="s">
        <v>9</v>
      </c>
      <c r="D368">
        <v>0</v>
      </c>
      <c r="E368" t="s">
        <v>51</v>
      </c>
    </row>
    <row r="369" spans="1:6" hidden="1" x14ac:dyDescent="0.25">
      <c r="A369" t="s">
        <v>78</v>
      </c>
      <c r="B369" t="s">
        <v>47</v>
      </c>
      <c r="C369" t="s">
        <v>40</v>
      </c>
      <c r="D369">
        <v>0</v>
      </c>
      <c r="E369" t="s">
        <v>41</v>
      </c>
    </row>
    <row r="370" spans="1:6" hidden="1" x14ac:dyDescent="0.25">
      <c r="A370" t="s">
        <v>78</v>
      </c>
      <c r="B370" t="s">
        <v>47</v>
      </c>
      <c r="C370" t="s">
        <v>18</v>
      </c>
      <c r="F370" t="s">
        <v>43</v>
      </c>
    </row>
    <row r="371" spans="1:6" hidden="1" x14ac:dyDescent="0.25">
      <c r="A371" t="s">
        <v>78</v>
      </c>
      <c r="B371" t="s">
        <v>47</v>
      </c>
      <c r="C371" t="s">
        <v>20</v>
      </c>
      <c r="F371" t="s">
        <v>43</v>
      </c>
    </row>
    <row r="372" spans="1:6" hidden="1" x14ac:dyDescent="0.25">
      <c r="A372" t="s">
        <v>78</v>
      </c>
      <c r="B372" t="s">
        <v>47</v>
      </c>
      <c r="C372" t="s">
        <v>11</v>
      </c>
      <c r="F372" t="s">
        <v>43</v>
      </c>
    </row>
    <row r="373" spans="1:6" hidden="1" x14ac:dyDescent="0.25">
      <c r="A373" t="s">
        <v>78</v>
      </c>
      <c r="B373" t="s">
        <v>47</v>
      </c>
      <c r="C373" t="s">
        <v>24</v>
      </c>
      <c r="F373" t="s">
        <v>43</v>
      </c>
    </row>
  </sheetData>
  <hyperlinks>
    <hyperlink ref="G56" r:id="rId1" location=":~:text=How%20many%20people%20does%20the,the%20US%20has%20987.1%20employees." xr:uid="{639D1A4C-F2AD-48A4-A2C3-626AB6A6CBAB}"/>
    <hyperlink ref="G27" r:id="rId2" xr:uid="{1EC38B99-DDD1-49F2-9065-9CB2DEAF050F}"/>
    <hyperlink ref="G14" r:id="rId3" location=":~:text=CBECS%20estimates%20that%205.9%20million,was%20last%20conducted%20in%202012." xr:uid="{825BA4A4-1B25-4FC1-9E21-98ED106A8E1F}"/>
    <hyperlink ref="G9" r:id="rId4" xr:uid="{A1B830D7-4F7B-4E39-850D-DF91E102F1FD}"/>
    <hyperlink ref="G8" r:id="rId5" xr:uid="{939E427E-3FEA-432D-96CC-1ACDDCDCC09D}"/>
    <hyperlink ref="G7" r:id="rId6" xr:uid="{D19D1BEB-7722-4875-A8C7-5C66F0D51814}"/>
    <hyperlink ref="G13" r:id="rId7" location=":~:text=CBECS%20estimates%20that%205.9%20million,was%20last%20conducted%20in%202012." xr:uid="{5609DA53-1C89-4618-93AB-5326AD90D095}"/>
    <hyperlink ref="G3" r:id="rId8" xr:uid="{F671C09C-F97A-4D56-AFB5-834BEFB9AC71}"/>
    <hyperlink ref="G2" r:id="rId9" xr:uid="{EF7CFE03-205A-4FD2-80B2-35B643CFFB0A}"/>
    <hyperlink ref="G30" r:id="rId10" xr:uid="{26AE7BDA-51B9-48BE-836F-842D91C2D7D1}"/>
    <hyperlink ref="G36" r:id="rId11" xr:uid="{210C75D5-1F47-4B58-A968-33EC3A9ADE83}"/>
    <hyperlink ref="G29" r:id="rId12" xr:uid="{1633A5DF-DD62-4142-8DFC-305AF788789B}"/>
    <hyperlink ref="G35" r:id="rId13" xr:uid="{8672195F-BC0A-4A36-B679-3E23A06F0CE6}"/>
    <hyperlink ref="G53" r:id="rId14" xr:uid="{4FB2A990-9CC8-44A3-A097-1C1BA7CCBE0E}"/>
    <hyperlink ref="G57" r:id="rId15" xr:uid="{B9EECABD-0CF2-4E4E-BF62-234382F653D4}"/>
    <hyperlink ref="G63" r:id="rId16" xr:uid="{7F9CD7E6-FDE5-43EA-AACF-5E9B2554F36A}"/>
    <hyperlink ref="G69" r:id="rId17" xr:uid="{75DC56DD-42ED-43C1-A954-073F15EA09E1}"/>
    <hyperlink ref="G71" r:id="rId18" xr:uid="{2927419A-0893-47AF-9DB8-B37996680B7D}"/>
    <hyperlink ref="G70" r:id="rId19" xr:uid="{90518443-147F-4008-B4A4-681BA5711150}"/>
    <hyperlink ref="G72" r:id="rId20" location="ref3" xr:uid="{4DE21D44-D2AD-4D23-A110-EC57D5AFB05F}"/>
    <hyperlink ref="G80" r:id="rId21" xr:uid="{2AF5DCDF-EA39-4FD6-902D-A9867304D961}"/>
    <hyperlink ref="G94" r:id="rId22" xr:uid="{5921BE17-1D64-4395-BBC0-6ECAA5D8CFD7}"/>
    <hyperlink ref="G82" r:id="rId23" location=":~:text=The%20answer%20depends%20on%20where,residents)%20is%20a%20good%20start." xr:uid="{7CE3D6CA-A26C-4C92-9EAE-194B256AEDA1}"/>
    <hyperlink ref="G106" r:id="rId24" display="http://hirr.hartsem.edu/research/fastfacts/fast_facts.html" xr:uid="{FEB6150A-1729-40CF-9910-D275D185BDF7}"/>
    <hyperlink ref="G114" r:id="rId25" xr:uid="{C57CB5A1-7B0C-4E7A-B209-14F55CE3C3E3}"/>
    <hyperlink ref="G132" r:id="rId26" xr:uid="{90B73137-F408-4DBD-8912-198AA15C7AB8}"/>
    <hyperlink ref="G133" r:id="rId27" xr:uid="{821F89F9-0727-40A3-B24C-9125F31A7D16}"/>
    <hyperlink ref="G147" r:id="rId28" xr:uid="{D62EF61F-AD3C-4882-B13B-DBE49056A7B6}"/>
    <hyperlink ref="G184" r:id="rId29" xr:uid="{009B1D66-F93A-4D3F-B854-E0A1A57BCFB2}"/>
    <hyperlink ref="G185" r:id="rId30" xr:uid="{6EE904CB-9124-483F-84CE-ED1DB1093C44}"/>
    <hyperlink ref="G186" r:id="rId31" xr:uid="{6C0D14C4-DE64-4E41-91F4-C536FE2D6133}"/>
    <hyperlink ref="G188" r:id="rId32" xr:uid="{DAF6FA99-B45A-488B-A52D-C1B66B4A1E31}"/>
    <hyperlink ref="G54" r:id="rId33" location=":~:text=CBECS%20estimates%20that%205.9%20million,was%20last%20conducted%20in%202012." xr:uid="{34C05D19-27AF-4880-9D5F-104F918EF6AE}"/>
    <hyperlink ref="G28" r:id="rId34" location=":~:text=CBECS%20estimates%20that%205.9%20million,was%20last%20conducted%20in%202012." xr:uid="{A5F2E3AF-3406-4522-ADBA-60D32ED6BC4C}"/>
    <hyperlink ref="G107" r:id="rId35" location=":~:text=CBECS%20estimates%20that%205.9%20million,was%20last%20conducted%20in%202012." xr:uid="{CA2A72D7-3943-446B-9C38-82843A2C9E83}"/>
    <hyperlink ref="G213" r:id="rId36" location=":~:text=CBECS%20estimates%20that%205.9%20million,was%20last%20conducted%20in%202012." xr:uid="{6038C301-11DD-4D0A-A868-FED2D8554280}"/>
    <hyperlink ref="G214" r:id="rId37" xr:uid="{807AD957-30FC-4CE4-8830-C22C97E7ED19}"/>
    <hyperlink ref="G220" r:id="rId38" location=":~:text=Because%20there%20were%20approximately%20134,over%2026%20million%20consumer%20units." xr:uid="{80A275F3-CBBE-42A2-B837-D7EDB43E13CA}"/>
    <hyperlink ref="G348" r:id="rId39" xr:uid="{513F7D7C-D3A0-4246-97B6-B82864108640}"/>
    <hyperlink ref="G350" r:id="rId40" xr:uid="{F603A2F2-E3BC-4B1B-9B88-EA33A875E619}"/>
    <hyperlink ref="G64" r:id="rId41" xr:uid="{676D6A44-CD58-4B36-BD0A-2A3F4F9D68AB}"/>
    <hyperlink ref="G65" r:id="rId42" xr:uid="{FA897950-8F57-4F61-90A1-42E77565E769}"/>
    <hyperlink ref="G67" r:id="rId43" xr:uid="{42A8B797-A304-481F-9607-E5D85D89C844}"/>
    <hyperlink ref="G187" r:id="rId44" location=":~:text=CBECS%20estimates%20that%205.9%20million,was%20last%20conducted%20in%202012." xr:uid="{07588923-84AC-4464-B6C1-3D9D2F40A88A}"/>
    <hyperlink ref="G349" r:id="rId45" location=":~:text=CBECS%20estimates%20that%205.9%20million,was%20last%20conducted%20in%202012." xr:uid="{0544C9A5-FD5C-4A96-AAED-84F2BBBBA656}"/>
    <hyperlink ref="G81" r:id="rId46" xr:uid="{328C67DD-AD00-41FE-ACE6-FCD1BC18CF8B}"/>
    <hyperlink ref="G83" r:id="rId47" xr:uid="{F43EB049-51B9-4F66-83EB-77CC7D786B11}"/>
    <hyperlink ref="G109" r:id="rId48" xr:uid="{508C756E-C2FE-4D82-BF6F-75E566BF75EF}"/>
    <hyperlink ref="G189" r:id="rId49" xr:uid="{B8C28CBA-5C7A-4488-BDEF-C4B5B36F38D3}"/>
    <hyperlink ref="G215" r:id="rId50" xr:uid="{7C8CCABD-ADFC-401E-9922-8FEB2B700E8D}"/>
    <hyperlink ref="G242" r:id="rId51" xr:uid="{7F639359-3A43-49E2-8898-DEFBCF44A3CD}"/>
    <hyperlink ref="G269" r:id="rId52" xr:uid="{444E1008-976F-483C-AB46-9C0AA0D2B2E0}"/>
    <hyperlink ref="G297" r:id="rId53" xr:uid="{26106645-9CF1-46B2-B14A-010D781C0A25}"/>
    <hyperlink ref="G12" r:id="rId54" xr:uid="{9D136CE2-C1A2-47A6-B4B9-37ED2370FE5F}"/>
    <hyperlink ref="G248" r:id="rId55" xr:uid="{3F986396-150E-41BE-83F2-881A932CB80E}"/>
    <hyperlink ref="G240" r:id="rId56" xr:uid="{F7E7C72B-0E99-4E96-89F9-F38AAC1216E0}"/>
    <hyperlink ref="G247" r:id="rId57" xr:uid="{091F6FA6-37B3-46E1-8CB4-006CDA5EF2C6}"/>
    <hyperlink ref="G302" r:id="rId58" xr:uid="{31FD169A-635E-4E93-A3DD-2D51BCAF78B1}"/>
    <hyperlink ref="G303" r:id="rId59" xr:uid="{B43F519C-A308-4F9A-8AFF-8BC5424E3761}"/>
    <hyperlink ref="G296" r:id="rId60" xr:uid="{A25A29E0-10AB-4EC3-BB1E-6307260FD16D}"/>
    <hyperlink ref="G268" r:id="rId61" xr:uid="{75C10F9E-4BC5-42CD-9ADD-A3337B1FAFC0}"/>
    <hyperlink ref="G241" r:id="rId62" xr:uid="{DDA5BD94-013D-439E-98E4-56F010651B34}"/>
    <hyperlink ref="G314" r:id="rId63" xr:uid="{01E1DDBA-7068-4A21-9DB4-B837526C22A2}"/>
    <hyperlink ref="G315" r:id="rId64" xr:uid="{2F569026-695F-44DB-B478-1F3408227728}"/>
    <hyperlink ref="G316" r:id="rId65" xr:uid="{389E997E-5640-45C2-B294-66FF638C7D6D}"/>
    <hyperlink ref="G324" r:id="rId66" xr:uid="{82EB271B-BAA2-4C03-A471-DE5A59B28C8D}"/>
    <hyperlink ref="G325" r:id="rId67" location=":~:text=Employees%20normally%20work%2040%20hours,%2C%20evenings%2C%20nights%2C%20etc." xr:uid="{6461EBFD-75AC-45D3-9CF8-0DFEBC604750}"/>
    <hyperlink ref="G331" r:id="rId68" xr:uid="{2114B79A-44BC-4461-8CB8-B4CB84163F84}"/>
    <hyperlink ref="G108" r:id="rId69" xr:uid="{095C1B3E-5FA8-42E5-A461-036028ADC682}"/>
    <hyperlink ref="G55" r:id="rId70" location=":~:text=How%20does%20hospital%20facility%20size,of%201.2%20million%20square%20feet." xr:uid="{A170D890-0CA7-449F-87F1-C11E1E8C1FFA}"/>
    <hyperlink ref="G18" r:id="rId71" xr:uid="{9802EA69-229F-4131-BC49-88F84FD5BABF}"/>
    <hyperlink ref="G75" r:id="rId72" location=":~:text=The%20length%20of%20the%20visit,until%20the%20conversation%20is%20over." xr:uid="{8B1ECACD-F1D4-42D1-A83C-AA692199A529}"/>
    <hyperlink ref="G115" r:id="rId73" xr:uid="{C0CE5947-E15C-4D27-B09A-B57CC7B949D8}"/>
    <hyperlink ref="G267" r:id="rId74" display="https://geodata.bts.gov/datasets/usdot::north-american-roads/about" xr:uid="{4B57A95D-21A0-4885-A56D-E3AF5F3DC567}"/>
    <hyperlink ref="G274" r:id="rId75" xr:uid="{76D33946-42B4-4932-9C35-9BD0988CCFD1}"/>
    <hyperlink ref="G275" r:id="rId76" display="https://geodata.bts.gov/datasets/usdot::north-american-roads/about" xr:uid="{DFB73D4B-968B-4C4F-AF64-0FEDC7CE6610}"/>
    <hyperlink ref="G265" r:id="rId77" location="data" xr:uid="{7121A4E3-7ABC-4D22-99F4-9155A8F77556}"/>
    <hyperlink ref="G238" r:id="rId78" location="data" xr:uid="{31070916-5F79-4081-BD22-FB8DD530F8D6}"/>
    <hyperlink ref="G295" r:id="rId79" location="data" xr:uid="{AFA3ECB2-13A4-41DD-B01A-B24CFEDB0E94}"/>
    <hyperlink ref="G25" r:id="rId80" xr:uid="{A511676A-7818-48A6-AE11-2A59941F8AF6}"/>
    <hyperlink ref="G26" r:id="rId81" xr:uid="{42D2B2ED-766E-4FF2-A54E-86C8E4FF33BC}"/>
    <hyperlink ref="G17" r:id="rId82" xr:uid="{0619CF69-ADE4-4D86-A73F-7A4CA516F2B8}"/>
    <hyperlink ref="G16" r:id="rId83" xr:uid="{5488772E-7FF6-476B-BD58-2538F002C46B}"/>
    <hyperlink ref="G19" r:id="rId84" xr:uid="{EEA0857F-1BF3-480A-B22D-9DB6C7C89165}"/>
    <hyperlink ref="G24" r:id="rId85" xr:uid="{3FF323FA-26EE-49D9-8C96-051EF8E545F4}"/>
    <hyperlink ref="G22" r:id="rId86" location="FN2" xr:uid="{2286718D-4074-4F6E-8180-D4275B6B8EAB}"/>
    <hyperlink ref="G23" r:id="rId87" xr:uid="{0E940A28-BDF8-49C0-9C05-2273AE967930}"/>
    <hyperlink ref="G21" r:id="rId88" xr:uid="{90F14D21-51D3-42A8-AD41-0FFBDB840C52}"/>
    <hyperlink ref="G20" r:id="rId89" xr:uid="{E71DFE0C-E8CC-4372-9040-6DC29C896138}"/>
    <hyperlink ref="G15" r:id="rId90" xr:uid="{9CC73059-A872-4489-AE68-9ADA3D6F8A50}"/>
    <hyperlink ref="G62" r:id="rId91" xr:uid="{AB043F5F-08A2-400E-A8D8-7F6E92D6A2A2}"/>
    <hyperlink ref="G68" r:id="rId92" xr:uid="{B545764A-1F39-46D3-A09C-160D66FA658B}"/>
    <hyperlink ref="G221" r:id="rId93" xr:uid="{4C8E6BCC-40C7-4A16-A274-57556EE8B1B4}"/>
    <hyperlink ref="G293" r:id="rId94" location="data" xr:uid="{D0EE7CA5-3038-4C38-8CBD-90B089AD0A77}"/>
    <hyperlink ref="G239" r:id="rId95" location="data" xr:uid="{434D7CCF-B6AE-4DBA-985B-7ACC7EAD7455}"/>
    <hyperlink ref="G266" r:id="rId96" location="data" xr:uid="{C2FD47C1-CA5E-4D35-9284-C8B452E73CE9}"/>
    <hyperlink ref="G294" r:id="rId97" location="data" xr:uid="{E93C8EA9-FAE5-433C-8338-2D0DF464EA87}"/>
    <hyperlink ref="G292" r:id="rId98" location="data" xr:uid="{8F5D23F6-CD7B-4328-AAC7-CC93F9E034F4}"/>
    <hyperlink ref="G212" r:id="rId99" xr:uid="{B743AB58-B3E0-40E9-9D30-3AEAE6288643}"/>
  </hyperlinks>
  <pageMargins left="0.7" right="0.7" top="0.75" bottom="0.75" header="0.3" footer="0.3"/>
  <tableParts count="1">
    <tablePart r:id="rId10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376DC137325C46834C47F066F26D67" ma:contentTypeVersion="4" ma:contentTypeDescription="Create a new document." ma:contentTypeScope="" ma:versionID="f9e5bc1659f2f8953e215f754e3190fc">
  <xsd:schema xmlns:xsd="http://www.w3.org/2001/XMLSchema" xmlns:xs="http://www.w3.org/2001/XMLSchema" xmlns:p="http://schemas.microsoft.com/office/2006/metadata/properties" xmlns:ns2="552fe224-c548-48c7-8461-2495e615ea52" targetNamespace="http://schemas.microsoft.com/office/2006/metadata/properties" ma:root="true" ma:fieldsID="a367dd0c9e596f9d3e1382dbdb3d4903" ns2:_="">
    <xsd:import namespace="552fe224-c548-48c7-8461-2495e615ea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fe224-c548-48c7-8461-2495e615e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264B11-CF54-4397-88CF-D1D15E80C8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2fe224-c548-48c7-8461-2495e615ea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07A497-C28E-4F95-8CD0-891B29B109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6AA50A-554C-48D1-8B96-590AF474C6F6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2dd732a6-0413-473f-a1ce-68d1616444b6}" enabled="0" method="" siteId="{2dd732a6-0413-473f-a1ce-68d1616444b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Scheitlin, Christopher (US)</dc:creator>
  <cp:keywords/>
  <dc:description/>
  <cp:lastModifiedBy>Scheitlin, Christopher (US)</cp:lastModifiedBy>
  <cp:revision/>
  <dcterms:created xsi:type="dcterms:W3CDTF">2024-10-01T20:22:20Z</dcterms:created>
  <dcterms:modified xsi:type="dcterms:W3CDTF">2025-10-31T15:57:29Z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dinVersion">
    <vt:lpwstr>5</vt:lpwstr>
  </property>
  <property fmtid="{D5CDD505-2E9C-101B-9397-08002B2CF9AE}" pid="3" name="AddinDataModel">
    <vt:lpwstr>0</vt:lpwstr>
  </property>
  <property fmtid="{D5CDD505-2E9C-101B-9397-08002B2CF9AE}" pid="4" name="ContentTypeId">
    <vt:lpwstr>0x0101005F376DC137325C46834C47F066F26D67</vt:lpwstr>
  </property>
</Properties>
</file>